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0" documentId="13_ncr:1_{DE1C09CC-E75D-455C-8E2F-1A1FF0CA1F2F}" xr6:coauthVersionLast="47" xr6:coauthVersionMax="47" xr10:uidLastSave="{00000000-0000-0000-0000-000000000000}"/>
  <bookViews>
    <workbookView xWindow="-108" yWindow="-108" windowWidth="41496" windowHeight="16896" xr2:uid="{00000000-000D-0000-FFFF-FFFF00000000}"/>
  </bookViews>
  <sheets>
    <sheet name="ProjectSchedule" sheetId="11" r:id="rId1"/>
    <sheet name="Acerca de" sheetId="12" r:id="rId2"/>
  </sheets>
  <definedNames>
    <definedName name="hoy" localSheetId="0">TODAY()</definedName>
    <definedName name="Inicio_del_proyecto">ProjectSchedule!$E$3</definedName>
    <definedName name="Semana_para_mostrar">ProjectSchedule!$E$4</definedName>
    <definedName name="task_end" localSheetId="0">ProjectSchedule!$F1</definedName>
    <definedName name="task_progress" localSheetId="0">ProjectSchedule!$D1</definedName>
    <definedName name="task_start" localSheetId="0">ProjectSchedule!$E1</definedName>
    <definedName name="_xlnm.Print_Titles" localSheetId="0">ProjectSchedule!$4:$6</definedName>
  </definedNames>
  <calcPr calcId="18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1" i="11" l="1"/>
  <c r="H7" i="11"/>
  <c r="H24" i="11" l="1"/>
  <c r="I5" i="11"/>
  <c r="H35" i="11"/>
  <c r="H34" i="11"/>
  <c r="H33" i="11"/>
  <c r="H31" i="11"/>
  <c r="H30" i="11"/>
  <c r="H28" i="11"/>
  <c r="H23" i="11"/>
  <c r="H22" i="11"/>
  <c r="H15" i="11"/>
  <c r="H8" i="11"/>
  <c r="H14" i="11" l="1"/>
  <c r="H9" i="11"/>
  <c r="I6" i="11"/>
  <c r="H29" i="11" l="1"/>
  <c r="H27" i="11"/>
  <c r="H16" i="11"/>
  <c r="J5" i="11"/>
  <c r="K5" i="11" s="1"/>
  <c r="L5" i="11" s="1"/>
  <c r="M5" i="11" s="1"/>
  <c r="N5" i="11" s="1"/>
  <c r="O5" i="11" s="1"/>
  <c r="P5" i="11" s="1"/>
  <c r="I4" i="11"/>
  <c r="H25" i="11" l="1"/>
  <c r="H26" i="11"/>
  <c r="H17" i="11"/>
  <c r="H12" i="11"/>
  <c r="H13" i="11"/>
  <c r="P4" i="11"/>
  <c r="Q5" i="11"/>
  <c r="R5" i="11" s="1"/>
  <c r="S5" i="11" s="1"/>
  <c r="T5" i="11" s="1"/>
  <c r="U5" i="11" s="1"/>
  <c r="V5" i="11" s="1"/>
  <c r="W5" i="11" s="1"/>
  <c r="J6" i="11"/>
  <c r="H21" i="11" l="1"/>
  <c r="H19" i="11"/>
  <c r="H18" i="11"/>
  <c r="W4" i="1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AZ5" i="11" l="1"/>
  <c r="AY4" i="11"/>
  <c r="S6" i="11" s="1"/>
  <c r="AX6" i="11"/>
  <c r="T6" i="11"/>
  <c r="AY6" i="11" l="1"/>
  <c r="BA5" i="11"/>
  <c r="AZ6" i="11"/>
  <c r="U6" i="11"/>
  <c r="BA6" i="11" l="1"/>
  <c r="BB5" i="11"/>
  <c r="V6" i="11"/>
  <c r="BB6" i="11" l="1"/>
  <c r="BC5" i="11"/>
  <c r="W6" i="11"/>
  <c r="BC6" i="11" l="1"/>
  <c r="BD5" i="11"/>
  <c r="X6" i="11"/>
  <c r="BE5" i="11" l="1"/>
  <c r="BD6" i="11"/>
  <c r="Y6" i="11"/>
  <c r="BE6" i="11" l="1"/>
  <c r="BF5" i="11"/>
  <c r="BF6" i="11" l="1"/>
  <c r="BG5" i="11"/>
  <c r="BF4" i="11"/>
  <c r="Z6" i="11" s="1"/>
  <c r="AA6" i="11"/>
  <c r="BG6" i="11" l="1"/>
  <c r="BH5" i="11"/>
  <c r="AB6" i="11"/>
  <c r="BI5" i="11" l="1"/>
  <c r="BH6" i="11"/>
  <c r="AC6" i="11"/>
  <c r="BJ5" i="11" l="1"/>
  <c r="BI6" i="11"/>
  <c r="AD6" i="11"/>
  <c r="BK5" i="11" l="1"/>
  <c r="BJ6" i="11"/>
  <c r="AE6" i="11"/>
  <c r="BL5" i="11" l="1"/>
  <c r="BK6" i="11"/>
  <c r="AF6" i="11"/>
  <c r="BL6" i="11" l="1"/>
  <c r="AG6" i="11"/>
  <c r="AH6" i="11" l="1"/>
  <c r="AI6" i="11" l="1"/>
  <c r="AJ6" i="11" l="1"/>
  <c r="AK6" i="11" l="1"/>
  <c r="AL6" i="11" l="1"/>
  <c r="AM6" i="11" l="1"/>
  <c r="AN6" i="11" l="1"/>
  <c r="AO6" i="11" l="1"/>
  <c r="AP6" i="11" l="1"/>
  <c r="AQ6" i="11" l="1"/>
  <c r="AR6" i="11" l="1"/>
</calcChain>
</file>

<file path=xl/sharedStrings.xml><?xml version="1.0" encoding="utf-8"?>
<sst xmlns="http://schemas.openxmlformats.org/spreadsheetml/2006/main" count="63" uniqueCount="62">
  <si>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</si>
  <si>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</si>
  <si>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</si>
  <si>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</si>
  <si>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</si>
  <si>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</si>
  <si>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</si>
  <si>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</si>
  <si>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</si>
  <si>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</si>
  <si>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</si>
  <si>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</si>
  <si>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Esta es una fila vacía.</t>
  </si>
  <si>
    <t>Esta fila indica el final de la programación del proyecto. NO escriba nada en esta fila. 
Inserte nuevas filas encima de ésta para continuar creando la programación del proyecto.</t>
  </si>
  <si>
    <t>TAREA</t>
  </si>
  <si>
    <t>Inserte nuevas filas ENCIMA de ésta</t>
  </si>
  <si>
    <t>Inicio del proyecto:</t>
  </si>
  <si>
    <t>Semana para mostrar:</t>
  </si>
  <si>
    <t>ASIGNADO
A</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</si>
  <si>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</si>
  <si>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</si>
  <si>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</si>
  <si>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</si>
  <si>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</si>
  <si>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</si>
  <si>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</si>
  <si>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</si>
  <si>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</si>
  <si>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</si>
  <si>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</si>
  <si>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</si>
  <si>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</si>
  <si>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</si>
  <si>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</si>
  <si>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</si>
  <si>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</si>
  <si>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</si>
  <si>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</si>
  <si>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Fase 1: Análisis y Requisitos</t>
  </si>
  <si>
    <t>Análisis Requisitos y Lista de Equipos</t>
  </si>
  <si>
    <t>Diseño Modelo Entidad-Relación</t>
  </si>
  <si>
    <t>Creación Repositorio y Prototipo Navegable</t>
  </si>
  <si>
    <t>HITO 1: ENTREGA SEGUIMIENTO 1</t>
  </si>
  <si>
    <t>Fase 2: Desarrollo del MVP y Persistencia</t>
  </si>
  <si>
    <t>HITO 2: ENTREGA SEGUIMIENTO 2</t>
  </si>
  <si>
    <t>Fase 3: Integración y UI</t>
  </si>
  <si>
    <t>HITO 3: BORRADOR PARA REVISIÓN</t>
  </si>
  <si>
    <t>Fase 4: Pruebas, Control de Calidad y Cierre</t>
  </si>
  <si>
    <t>Correcciones del Tutor y Pulido Final</t>
  </si>
  <si>
    <t>Cierre de Versión</t>
  </si>
  <si>
    <t>HITO FINAL: ENTREGA DEL PROYECTO</t>
  </si>
  <si>
    <t>Sistema de Control y Gestión Teatro</t>
  </si>
  <si>
    <t>Miguel Tárraga Martínez</t>
  </si>
  <si>
    <t>Selección Protocolos</t>
  </si>
  <si>
    <t>Gestión de Identidad (Roles y Login MySQL)</t>
  </si>
  <si>
    <t>Control HW 2 (Audio Meyer SNMP y Emergencia)</t>
  </si>
  <si>
    <t>Sistema de Logs (Acciones y Fallos de Red)</t>
  </si>
  <si>
    <t>Base Lógica de Reservas y Horarios (Backend)</t>
  </si>
  <si>
    <t>Diseño Adaptativo Interfaz UCI</t>
  </si>
  <si>
    <t>Automatización Ahorro Energético (Auto-apagado)</t>
  </si>
  <si>
    <t>Redacción de Memoria (Borrador Completo)</t>
  </si>
  <si>
    <t>Control HW 1 (Vídeo Evertz, Luces ETC y Proyección)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</si>
</sst>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dd\,\ m/d/yyyy"/>
    <numFmt numFmtId="167" formatCode="[$-C0A]d\ &quot;de&quot;\ mmmm\ &quot;de&quot;\ yyyy;@"/>
    <numFmt numFmtId="168" formatCode="d\-m\-yy;@"/>
    <numFmt numFmtId="169" formatCode="d"/>
  </numFmts>
  <fonts count="37"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5">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22" fillId="0" borderId="0"/>
    <xf numFmtId="165"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6" fontId="9" fillId="0" borderId="3">
      <alignment horizontal="center" vertical="center"/>
    </xf>
    <xf numFmtId="168"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25"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26" fillId="0" borderId="0" applyNumberFormat="0" applyFill="0" applyBorder="0" applyAlignment="0" applyProtection="0"/>
    <xf numFmtId="0" fontId="27" fillId="14" borderId="0" applyNumberFormat="0" applyBorder="0" applyAlignment="0" applyProtection="0"/>
    <xf numFmtId="0" fontId="28" fillId="15" borderId="0" applyNumberFormat="0" applyBorder="0" applyAlignment="0" applyProtection="0"/>
    <xf numFmtId="0" fontId="29" fillId="16" borderId="0" applyNumberFormat="0" applyBorder="0" applyAlignment="0" applyProtection="0"/>
    <xf numFmtId="0" fontId="30" fillId="17" borderId="11" applyNumberFormat="0" applyAlignment="0" applyProtection="0"/>
    <xf numFmtId="0" fontId="31" fillId="18" borderId="12" applyNumberFormat="0" applyAlignment="0" applyProtection="0"/>
    <xf numFmtId="0" fontId="32" fillId="18" borderId="11" applyNumberFormat="0" applyAlignment="0" applyProtection="0"/>
    <xf numFmtId="0" fontId="33" fillId="0" borderId="13" applyNumberFormat="0" applyFill="0" applyAlignment="0" applyProtection="0"/>
    <xf numFmtId="0" fontId="34" fillId="19" borderId="14" applyNumberFormat="0" applyAlignment="0" applyProtection="0"/>
    <xf numFmtId="0" fontId="35" fillId="0" borderId="0" applyNumberFormat="0" applyFill="0" applyBorder="0" applyAlignment="0" applyProtection="0"/>
    <xf numFmtId="0" fontId="9" fillId="20" borderId="15" applyNumberFormat="0" applyFont="0" applyAlignment="0" applyProtection="0"/>
    <xf numFmtId="0" fontId="36" fillId="0" borderId="0" applyNumberFormat="0" applyFill="0" applyBorder="0" applyAlignment="0" applyProtection="0"/>
    <xf numFmtId="0" fontId="6" fillId="0" borderId="16" applyNumberFormat="0" applyFill="0" applyAlignment="0" applyProtection="0"/>
    <xf numFmtId="0" fontId="22"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22"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22"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22"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22"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22"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cellStyleXfs>
  <cellXfs count="94">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2" fillId="12"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10"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2" fillId="0" borderId="0" xfId="0" applyFont="1" applyAlignment="1">
      <alignment vertical="top"/>
    </xf>
    <xf numFmtId="0" fontId="16" fillId="0" borderId="0" xfId="0" applyFont="1" applyAlignment="1">
      <alignment horizontal="left" vertical="center"/>
    </xf>
    <xf numFmtId="0" fontId="17" fillId="0" borderId="0" xfId="0" applyFont="1" applyAlignment="1">
      <alignment horizontal="left" vertical="center"/>
    </xf>
    <xf numFmtId="0" fontId="19" fillId="0" borderId="0" xfId="0" applyFont="1"/>
    <xf numFmtId="0" fontId="21" fillId="0" borderId="0" xfId="0" applyFont="1" applyAlignment="1">
      <alignment vertical="center"/>
    </xf>
    <xf numFmtId="0" fontId="20" fillId="0" borderId="0" xfId="0" applyFont="1" applyAlignment="1">
      <alignment horizontal="left" vertical="top" wrapText="1" indent="1"/>
    </xf>
    <xf numFmtId="0" fontId="2" fillId="0" borderId="0" xfId="0" applyFont="1" applyAlignment="1">
      <alignment horizontal="left" vertical="top"/>
    </xf>
    <xf numFmtId="0" fontId="18"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2" fillId="0" borderId="0" xfId="3"/>
    <xf numFmtId="0" fontId="22" fillId="0" borderId="0" xfId="3" applyAlignment="1">
      <alignment wrapText="1"/>
    </xf>
    <xf numFmtId="0" fontId="22" fillId="0" borderId="0" xfId="0" applyFont="1" applyAlignment="1">
      <alignment horizontal="center"/>
    </xf>
    <xf numFmtId="0" fontId="0" fillId="0" borderId="0" xfId="0" applyAlignment="1">
      <alignment wrapText="1"/>
    </xf>
    <xf numFmtId="0" fontId="13" fillId="0" borderId="0" xfId="5" applyAlignment="1">
      <alignment horizontal="left"/>
    </xf>
    <xf numFmtId="0" fontId="10" fillId="0" borderId="0" xfId="6"/>
    <xf numFmtId="0" fontId="10" fillId="0" borderId="0" xfId="7">
      <alignment vertical="top"/>
    </xf>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5" borderId="2" xfId="11" applyFill="1">
      <alignment horizontal="center" vertical="center"/>
    </xf>
    <xf numFmtId="0" fontId="9" fillId="10"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0" fontId="0" fillId="0" borderId="10" xfId="0" applyBorder="1"/>
    <xf numFmtId="0" fontId="23" fillId="0" borderId="0" xfId="0" applyFont="1"/>
    <xf numFmtId="0" fontId="24" fillId="0" borderId="0" xfId="1" applyFont="1" applyProtection="1">
      <alignment vertical="top"/>
    </xf>
    <xf numFmtId="0" fontId="5" fillId="0" borderId="0" xfId="0" applyFont="1" applyAlignment="1">
      <alignment vertical="top"/>
    </xf>
    <xf numFmtId="168" fontId="0" fillId="8" borderId="2" xfId="0" applyNumberFormat="1" applyFill="1" applyBorder="1" applyAlignment="1">
      <alignment horizontal="center" vertical="center"/>
    </xf>
    <xf numFmtId="168" fontId="5" fillId="8" borderId="2" xfId="0" applyNumberFormat="1" applyFont="1" applyFill="1" applyBorder="1" applyAlignment="1">
      <alignment horizontal="center" vertical="center"/>
    </xf>
    <xf numFmtId="168" fontId="0" fillId="9" borderId="2" xfId="0" applyNumberFormat="1" applyFill="1" applyBorder="1" applyAlignment="1">
      <alignment horizontal="center" vertical="center"/>
    </xf>
    <xf numFmtId="168" fontId="5" fillId="9" borderId="2" xfId="0" applyNumberFormat="1" applyFont="1" applyFill="1" applyBorder="1" applyAlignment="1">
      <alignment horizontal="center" vertical="center"/>
    </xf>
    <xf numFmtId="168" fontId="0" fillId="6" borderId="2" xfId="0" applyNumberFormat="1" applyFill="1" applyBorder="1" applyAlignment="1">
      <alignment horizontal="center" vertical="center"/>
    </xf>
    <xf numFmtId="168" fontId="5" fillId="6" borderId="2" xfId="0" applyNumberFormat="1" applyFont="1" applyFill="1" applyBorder="1" applyAlignment="1">
      <alignment horizontal="center" vertical="center"/>
    </xf>
    <xf numFmtId="168" fontId="9" fillId="11" borderId="2" xfId="10" applyNumberFormat="1" applyFill="1">
      <alignment horizontal="center" vertical="center"/>
    </xf>
    <xf numFmtId="168" fontId="0" fillId="5" borderId="2" xfId="0" applyNumberFormat="1" applyFill="1" applyBorder="1" applyAlignment="1">
      <alignment horizontal="center" vertical="center"/>
    </xf>
    <xf numFmtId="168" fontId="5" fillId="5" borderId="2" xfId="0" applyNumberFormat="1" applyFont="1" applyFill="1" applyBorder="1" applyAlignment="1">
      <alignment horizontal="center" vertical="center"/>
    </xf>
    <xf numFmtId="168" fontId="4" fillId="2" borderId="2" xfId="0" applyNumberFormat="1" applyFont="1" applyFill="1" applyBorder="1" applyAlignment="1">
      <alignment horizontal="left" vertical="center"/>
    </xf>
    <xf numFmtId="168" fontId="5" fillId="2" borderId="2" xfId="0" applyNumberFormat="1" applyFont="1" applyFill="1" applyBorder="1" applyAlignment="1">
      <alignment horizontal="center" vertical="center"/>
    </xf>
    <xf numFmtId="169" fontId="11" fillId="7" borderId="6" xfId="0" applyNumberFormat="1" applyFont="1" applyFill="1" applyBorder="1" applyAlignment="1">
      <alignment horizontal="center" vertical="center"/>
    </xf>
    <xf numFmtId="169" fontId="11" fillId="7" borderId="0" xfId="0" applyNumberFormat="1" applyFont="1" applyFill="1" applyAlignment="1">
      <alignment horizontal="center" vertical="center"/>
    </xf>
    <xf numFmtId="169" fontId="11" fillId="7" borderId="7" xfId="0" applyNumberFormat="1" applyFont="1" applyFill="1" applyBorder="1" applyAlignment="1">
      <alignment horizontal="center" vertical="center"/>
    </xf>
    <xf numFmtId="168" fontId="9" fillId="3" borderId="2" xfId="10" applyFill="1">
      <alignment horizontal="center" vertical="center"/>
    </xf>
    <xf numFmtId="168" fontId="9" fillId="4" borderId="2" xfId="10" applyFill="1">
      <alignment horizontal="center" vertical="center"/>
    </xf>
    <xf numFmtId="168" fontId="9" fillId="10" borderId="2" xfId="10" applyFill="1">
      <alignment horizontal="center" vertical="center"/>
    </xf>
    <xf numFmtId="168" fontId="9" fillId="0" borderId="2" xfId="10">
      <alignment horizontal="center" vertical="center"/>
    </xf>
    <xf numFmtId="167" fontId="0" fillId="7" borderId="4" xfId="0" applyNumberFormat="1" applyFill="1" applyBorder="1" applyAlignment="1">
      <alignment horizontal="left" vertical="center" wrapText="1" indent="1"/>
    </xf>
    <xf numFmtId="167" fontId="0" fillId="7" borderId="1" xfId="0" applyNumberFormat="1" applyFill="1" applyBorder="1" applyAlignment="1">
      <alignment horizontal="left" vertical="center" wrapText="1" indent="1"/>
    </xf>
    <xf numFmtId="167" fontId="0" fillId="7" borderId="5" xfId="0" applyNumberFormat="1" applyFill="1" applyBorder="1" applyAlignment="1">
      <alignment horizontal="left" vertical="center" wrapText="1" indent="1"/>
    </xf>
    <xf numFmtId="166" fontId="9" fillId="0" borderId="3" xfId="9" applyNumberFormat="1">
      <alignment horizontal="center" vertical="center"/>
    </xf>
    <xf numFmtId="0" fontId="9" fillId="0" borderId="0" xfId="8">
      <alignment horizontal="right" indent="1"/>
    </xf>
    <xf numFmtId="0" fontId="9" fillId="0" borderId="7" xfId="8" applyBorder="1">
      <alignment horizontal="right" indent="1"/>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18">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17"/>
      <tableStyleElement type="headerRow" dxfId="16"/>
      <tableStyleElement type="totalRow" dxfId="15"/>
      <tableStyleElement type="firstColumn" dxfId="14"/>
      <tableStyleElement type="lastColumn" dxfId="13"/>
      <tableStyleElement type="firstRowStripe" dxfId="12"/>
      <tableStyleElement type="secondRowStripe" dxfId="11"/>
      <tableStyleElement type="firstColumnStripe" dxfId="10"/>
      <tableStyleElement type="secondColumnStripe"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38"/>
  <sheetViews>
    <sheetView showGridLines="0" tabSelected="1" showRuler="0" zoomScaleNormal="100" zoomScalePageLayoutView="70" workbookViewId="0">
      <pane ySplit="6" topLeftCell="A13" activePane="bottomLeft" state="frozen"/>
      <selection pane="bottomLeft" activeCell="D20" sqref="D20"/>
    </sheetView>
  </sheetViews>
  <sheetFormatPr baseColWidth="10" defaultColWidth="9.109375" defaultRowHeight="30" customHeight="1" x14ac:dyDescent="0.3"/>
  <cols>
    <col min="1" max="1" width="2.6640625" style="45" customWidth="1"/>
    <col min="2" max="2" width="64.109375" bestFit="1" customWidth="1"/>
    <col min="3" max="3" width="30.6640625" hidden="1" customWidth="1"/>
    <col min="4" max="4" width="10.6640625" customWidth="1"/>
    <col min="5" max="5" width="10.44140625" style="5" customWidth="1"/>
    <col min="6" max="6" width="10.44140625" customWidth="1"/>
    <col min="7" max="7" width="2.6640625" customWidth="1"/>
    <col min="8" max="8" width="9.44140625" hidden="1" customWidth="1"/>
    <col min="9" max="64" width="3.33203125" customWidth="1"/>
    <col min="69" max="70" width="10.33203125"/>
  </cols>
  <sheetData>
    <row r="1" spans="1:64" ht="30" customHeight="1" x14ac:dyDescent="0.55000000000000004">
      <c r="A1" s="46" t="s">
        <v>0</v>
      </c>
      <c r="B1" s="49" t="s">
        <v>51</v>
      </c>
      <c r="C1" s="1"/>
      <c r="D1" s="2"/>
      <c r="E1" s="4"/>
      <c r="F1" s="34"/>
      <c r="H1" s="2"/>
      <c r="I1" s="67"/>
    </row>
    <row r="2" spans="1:64" ht="30" customHeight="1" x14ac:dyDescent="0.35">
      <c r="A2" s="45" t="s">
        <v>1</v>
      </c>
      <c r="B2" s="50" t="s">
        <v>52</v>
      </c>
      <c r="I2" s="68"/>
    </row>
    <row r="3" spans="1:64" ht="30" customHeight="1" x14ac:dyDescent="0.3">
      <c r="A3" s="45" t="s">
        <v>2</v>
      </c>
      <c r="B3" s="51"/>
      <c r="C3" s="92" t="s">
        <v>16</v>
      </c>
      <c r="D3" s="93"/>
      <c r="E3" s="91">
        <v>46063</v>
      </c>
      <c r="F3" s="91"/>
    </row>
    <row r="4" spans="1:64" ht="30" customHeight="1" x14ac:dyDescent="0.3">
      <c r="A4" s="46" t="s">
        <v>3</v>
      </c>
      <c r="C4" s="92" t="s">
        <v>17</v>
      </c>
      <c r="D4" s="93"/>
      <c r="E4" s="7">
        <v>5</v>
      </c>
      <c r="I4" s="88">
        <f>I5</f>
        <v>46090</v>
      </c>
      <c r="J4" s="89"/>
      <c r="K4" s="89"/>
      <c r="L4" s="89"/>
      <c r="M4" s="89"/>
      <c r="N4" s="89"/>
      <c r="O4" s="90"/>
      <c r="P4" s="88">
        <f>P5</f>
        <v>46097</v>
      </c>
      <c r="Q4" s="89"/>
      <c r="R4" s="89"/>
      <c r="S4" s="89"/>
      <c r="T4" s="89"/>
      <c r="U4" s="89"/>
      <c r="V4" s="90"/>
      <c r="W4" s="88">
        <f>W5</f>
        <v>46104</v>
      </c>
      <c r="X4" s="89"/>
      <c r="Y4" s="89"/>
      <c r="Z4" s="89"/>
      <c r="AA4" s="89"/>
      <c r="AB4" s="89"/>
      <c r="AC4" s="90"/>
      <c r="AD4" s="88">
        <f>AD5</f>
        <v>46111</v>
      </c>
      <c r="AE4" s="89"/>
      <c r="AF4" s="89"/>
      <c r="AG4" s="89"/>
      <c r="AH4" s="89"/>
      <c r="AI4" s="89"/>
      <c r="AJ4" s="90"/>
      <c r="AK4" s="88">
        <f>AK5</f>
        <v>46118</v>
      </c>
      <c r="AL4" s="89"/>
      <c r="AM4" s="89"/>
      <c r="AN4" s="89"/>
      <c r="AO4" s="89"/>
      <c r="AP4" s="89"/>
      <c r="AQ4" s="90"/>
      <c r="AR4" s="88">
        <f>AR5</f>
        <v>46125</v>
      </c>
      <c r="AS4" s="89"/>
      <c r="AT4" s="89"/>
      <c r="AU4" s="89"/>
      <c r="AV4" s="89"/>
      <c r="AW4" s="89"/>
      <c r="AX4" s="90"/>
      <c r="AY4" s="88">
        <f>AY5</f>
        <v>46132</v>
      </c>
      <c r="AZ4" s="89"/>
      <c r="BA4" s="89"/>
      <c r="BB4" s="89"/>
      <c r="BC4" s="89"/>
      <c r="BD4" s="89"/>
      <c r="BE4" s="90"/>
      <c r="BF4" s="88">
        <f>BF5</f>
        <v>46139</v>
      </c>
      <c r="BG4" s="89"/>
      <c r="BH4" s="89"/>
      <c r="BI4" s="89"/>
      <c r="BJ4" s="89"/>
      <c r="BK4" s="89"/>
      <c r="BL4" s="90"/>
    </row>
    <row r="5" spans="1:64" ht="15" customHeight="1" x14ac:dyDescent="0.3">
      <c r="A5" s="46" t="s">
        <v>4</v>
      </c>
      <c r="B5" s="66"/>
      <c r="C5" s="66"/>
      <c r="D5" s="66"/>
      <c r="E5" s="66"/>
      <c r="F5" s="66"/>
      <c r="G5" s="66"/>
      <c r="I5" s="81">
        <f>Inicio_del_proyecto-WEEKDAY(Inicio_del_proyecto,1)+2+7*(Semana_para_mostrar-1)</f>
        <v>46090</v>
      </c>
      <c r="J5" s="82">
        <f>I5+1</f>
        <v>46091</v>
      </c>
      <c r="K5" s="82">
        <f t="shared" ref="K5:AX5" si="0">J5+1</f>
        <v>46092</v>
      </c>
      <c r="L5" s="82">
        <f t="shared" si="0"/>
        <v>46093</v>
      </c>
      <c r="M5" s="82">
        <f t="shared" si="0"/>
        <v>46094</v>
      </c>
      <c r="N5" s="82">
        <f t="shared" si="0"/>
        <v>46095</v>
      </c>
      <c r="O5" s="83">
        <f t="shared" si="0"/>
        <v>46096</v>
      </c>
      <c r="P5" s="81">
        <f>O5+1</f>
        <v>46097</v>
      </c>
      <c r="Q5" s="82">
        <f>P5+1</f>
        <v>46098</v>
      </c>
      <c r="R5" s="82">
        <f t="shared" si="0"/>
        <v>46099</v>
      </c>
      <c r="S5" s="82">
        <f t="shared" si="0"/>
        <v>46100</v>
      </c>
      <c r="T5" s="82">
        <f t="shared" si="0"/>
        <v>46101</v>
      </c>
      <c r="U5" s="82">
        <f t="shared" si="0"/>
        <v>46102</v>
      </c>
      <c r="V5" s="83">
        <f t="shared" si="0"/>
        <v>46103</v>
      </c>
      <c r="W5" s="81">
        <f>V5+1</f>
        <v>46104</v>
      </c>
      <c r="X5" s="82">
        <f>W5+1</f>
        <v>46105</v>
      </c>
      <c r="Y5" s="82">
        <f t="shared" si="0"/>
        <v>46106</v>
      </c>
      <c r="Z5" s="82">
        <f t="shared" si="0"/>
        <v>46107</v>
      </c>
      <c r="AA5" s="82">
        <f t="shared" si="0"/>
        <v>46108</v>
      </c>
      <c r="AB5" s="82">
        <f t="shared" si="0"/>
        <v>46109</v>
      </c>
      <c r="AC5" s="83">
        <f t="shared" si="0"/>
        <v>46110</v>
      </c>
      <c r="AD5" s="81">
        <f>AC5+1</f>
        <v>46111</v>
      </c>
      <c r="AE5" s="82">
        <f>AD5+1</f>
        <v>46112</v>
      </c>
      <c r="AF5" s="82">
        <f t="shared" si="0"/>
        <v>46113</v>
      </c>
      <c r="AG5" s="82">
        <f t="shared" si="0"/>
        <v>46114</v>
      </c>
      <c r="AH5" s="82">
        <f t="shared" si="0"/>
        <v>46115</v>
      </c>
      <c r="AI5" s="82">
        <f t="shared" si="0"/>
        <v>46116</v>
      </c>
      <c r="AJ5" s="83">
        <f t="shared" si="0"/>
        <v>46117</v>
      </c>
      <c r="AK5" s="81">
        <f>AJ5+1</f>
        <v>46118</v>
      </c>
      <c r="AL5" s="82">
        <f>AK5+1</f>
        <v>46119</v>
      </c>
      <c r="AM5" s="82">
        <f t="shared" si="0"/>
        <v>46120</v>
      </c>
      <c r="AN5" s="82">
        <f t="shared" si="0"/>
        <v>46121</v>
      </c>
      <c r="AO5" s="82">
        <f t="shared" si="0"/>
        <v>46122</v>
      </c>
      <c r="AP5" s="82">
        <f t="shared" si="0"/>
        <v>46123</v>
      </c>
      <c r="AQ5" s="83">
        <f t="shared" si="0"/>
        <v>46124</v>
      </c>
      <c r="AR5" s="81">
        <f>AQ5+1</f>
        <v>46125</v>
      </c>
      <c r="AS5" s="82">
        <f>AR5+1</f>
        <v>46126</v>
      </c>
      <c r="AT5" s="82">
        <f t="shared" si="0"/>
        <v>46127</v>
      </c>
      <c r="AU5" s="82">
        <f t="shared" si="0"/>
        <v>46128</v>
      </c>
      <c r="AV5" s="82">
        <f t="shared" si="0"/>
        <v>46129</v>
      </c>
      <c r="AW5" s="82">
        <f t="shared" si="0"/>
        <v>46130</v>
      </c>
      <c r="AX5" s="83">
        <f t="shared" si="0"/>
        <v>46131</v>
      </c>
      <c r="AY5" s="81">
        <f>AX5+1</f>
        <v>46132</v>
      </c>
      <c r="AZ5" s="82">
        <f>AY5+1</f>
        <v>46133</v>
      </c>
      <c r="BA5" s="82">
        <f t="shared" ref="BA5:BE5" si="1">AZ5+1</f>
        <v>46134</v>
      </c>
      <c r="BB5" s="82">
        <f t="shared" si="1"/>
        <v>46135</v>
      </c>
      <c r="BC5" s="82">
        <f t="shared" si="1"/>
        <v>46136</v>
      </c>
      <c r="BD5" s="82">
        <f t="shared" si="1"/>
        <v>46137</v>
      </c>
      <c r="BE5" s="83">
        <f t="shared" si="1"/>
        <v>46138</v>
      </c>
      <c r="BF5" s="81">
        <f>BE5+1</f>
        <v>46139</v>
      </c>
      <c r="BG5" s="82">
        <f>BF5+1</f>
        <v>46140</v>
      </c>
      <c r="BH5" s="82">
        <f t="shared" ref="BH5:BL5" si="2">BG5+1</f>
        <v>46141</v>
      </c>
      <c r="BI5" s="82">
        <f t="shared" si="2"/>
        <v>46142</v>
      </c>
      <c r="BJ5" s="82">
        <f t="shared" si="2"/>
        <v>46143</v>
      </c>
      <c r="BK5" s="82">
        <f t="shared" si="2"/>
        <v>46144</v>
      </c>
      <c r="BL5" s="83">
        <f t="shared" si="2"/>
        <v>46145</v>
      </c>
    </row>
    <row r="6" spans="1:64" ht="30" customHeight="1" thickBot="1" x14ac:dyDescent="0.35">
      <c r="A6" s="46" t="s">
        <v>5</v>
      </c>
      <c r="B6" s="8" t="s">
        <v>14</v>
      </c>
      <c r="C6" s="9" t="s">
        <v>18</v>
      </c>
      <c r="D6" s="9" t="s">
        <v>19</v>
      </c>
      <c r="E6" s="9" t="s">
        <v>20</v>
      </c>
      <c r="F6" s="9" t="s">
        <v>21</v>
      </c>
      <c r="G6" s="9"/>
      <c r="H6" s="9" t="s">
        <v>22</v>
      </c>
      <c r="I6" s="10" t="str">
        <f t="shared" ref="I6" si="3">LEFT(TEXT(I5,"ddd"),1)</f>
        <v>l</v>
      </c>
      <c r="J6" s="10" t="str">
        <f t="shared" ref="J6:AR6" si="4">LEFT(TEXT(J5,"ddd"),1)</f>
        <v>m</v>
      </c>
      <c r="K6" s="10" t="str">
        <f t="shared" si="4"/>
        <v>m</v>
      </c>
      <c r="L6" s="10" t="str">
        <f t="shared" si="4"/>
        <v>j</v>
      </c>
      <c r="M6" s="10" t="str">
        <f t="shared" si="4"/>
        <v>v</v>
      </c>
      <c r="N6" s="10" t="str">
        <f t="shared" si="4"/>
        <v>s</v>
      </c>
      <c r="O6" s="10" t="str">
        <f t="shared" si="4"/>
        <v>d</v>
      </c>
      <c r="P6" s="10" t="str">
        <f t="shared" si="4"/>
        <v>l</v>
      </c>
      <c r="Q6" s="10" t="str">
        <f t="shared" si="4"/>
        <v>m</v>
      </c>
      <c r="R6" s="10" t="str">
        <f t="shared" si="4"/>
        <v>m</v>
      </c>
      <c r="S6" s="10" t="str">
        <f t="shared" si="4"/>
        <v>j</v>
      </c>
      <c r="T6" s="10" t="str">
        <f t="shared" si="4"/>
        <v>v</v>
      </c>
      <c r="U6" s="10" t="str">
        <f t="shared" si="4"/>
        <v>s</v>
      </c>
      <c r="V6" s="10" t="str">
        <f t="shared" si="4"/>
        <v>d</v>
      </c>
      <c r="W6" s="10" t="str">
        <f t="shared" si="4"/>
        <v>l</v>
      </c>
      <c r="X6" s="10" t="str">
        <f t="shared" si="4"/>
        <v>m</v>
      </c>
      <c r="Y6" s="10" t="str">
        <f t="shared" si="4"/>
        <v>m</v>
      </c>
      <c r="Z6" s="10" t="str">
        <f t="shared" si="4"/>
        <v>j</v>
      </c>
      <c r="AA6" s="10" t="str">
        <f t="shared" si="4"/>
        <v>v</v>
      </c>
      <c r="AB6" s="10" t="str">
        <f t="shared" si="4"/>
        <v>s</v>
      </c>
      <c r="AC6" s="10" t="str">
        <f t="shared" si="4"/>
        <v>d</v>
      </c>
      <c r="AD6" s="10" t="str">
        <f t="shared" si="4"/>
        <v>l</v>
      </c>
      <c r="AE6" s="10" t="str">
        <f t="shared" si="4"/>
        <v>m</v>
      </c>
      <c r="AF6" s="10" t="str">
        <f t="shared" si="4"/>
        <v>m</v>
      </c>
      <c r="AG6" s="10" t="str">
        <f t="shared" si="4"/>
        <v>j</v>
      </c>
      <c r="AH6" s="10" t="str">
        <f t="shared" si="4"/>
        <v>v</v>
      </c>
      <c r="AI6" s="10" t="str">
        <f t="shared" si="4"/>
        <v>s</v>
      </c>
      <c r="AJ6" s="10" t="str">
        <f t="shared" si="4"/>
        <v>d</v>
      </c>
      <c r="AK6" s="10" t="str">
        <f t="shared" si="4"/>
        <v>l</v>
      </c>
      <c r="AL6" s="10" t="str">
        <f t="shared" si="4"/>
        <v>m</v>
      </c>
      <c r="AM6" s="10" t="str">
        <f t="shared" si="4"/>
        <v>m</v>
      </c>
      <c r="AN6" s="10" t="str">
        <f t="shared" si="4"/>
        <v>j</v>
      </c>
      <c r="AO6" s="10" t="str">
        <f t="shared" si="4"/>
        <v>v</v>
      </c>
      <c r="AP6" s="10" t="str">
        <f t="shared" si="4"/>
        <v>s</v>
      </c>
      <c r="AQ6" s="10" t="str">
        <f t="shared" si="4"/>
        <v>d</v>
      </c>
      <c r="AR6" s="10" t="str">
        <f t="shared" si="4"/>
        <v>l</v>
      </c>
      <c r="AS6" s="10" t="str">
        <f t="shared" ref="AS6:BL6" si="5">LEFT(TEXT(AS5,"ddd"),1)</f>
        <v>m</v>
      </c>
      <c r="AT6" s="10" t="str">
        <f t="shared" si="5"/>
        <v>m</v>
      </c>
      <c r="AU6" s="10" t="str">
        <f t="shared" si="5"/>
        <v>j</v>
      </c>
      <c r="AV6" s="10" t="str">
        <f t="shared" si="5"/>
        <v>v</v>
      </c>
      <c r="AW6" s="10" t="str">
        <f t="shared" si="5"/>
        <v>s</v>
      </c>
      <c r="AX6" s="10" t="str">
        <f t="shared" si="5"/>
        <v>d</v>
      </c>
      <c r="AY6" s="10" t="str">
        <f t="shared" si="5"/>
        <v>l</v>
      </c>
      <c r="AZ6" s="10" t="str">
        <f t="shared" si="5"/>
        <v>m</v>
      </c>
      <c r="BA6" s="10" t="str">
        <f t="shared" si="5"/>
        <v>m</v>
      </c>
      <c r="BB6" s="10" t="str">
        <f t="shared" si="5"/>
        <v>j</v>
      </c>
      <c r="BC6" s="10" t="str">
        <f t="shared" si="5"/>
        <v>v</v>
      </c>
      <c r="BD6" s="10" t="str">
        <f t="shared" si="5"/>
        <v>s</v>
      </c>
      <c r="BE6" s="10" t="str">
        <f t="shared" si="5"/>
        <v>d</v>
      </c>
      <c r="BF6" s="10" t="str">
        <f t="shared" si="5"/>
        <v>l</v>
      </c>
      <c r="BG6" s="10" t="str">
        <f t="shared" si="5"/>
        <v>m</v>
      </c>
      <c r="BH6" s="10" t="str">
        <f t="shared" si="5"/>
        <v>m</v>
      </c>
      <c r="BI6" s="10" t="str">
        <f t="shared" si="5"/>
        <v>j</v>
      </c>
      <c r="BJ6" s="10" t="str">
        <f t="shared" si="5"/>
        <v>v</v>
      </c>
      <c r="BK6" s="10" t="str">
        <f t="shared" si="5"/>
        <v>s</v>
      </c>
      <c r="BL6" s="10" t="str">
        <f t="shared" si="5"/>
        <v>d</v>
      </c>
    </row>
    <row r="7" spans="1:64" ht="30" hidden="1" customHeight="1" thickBot="1" x14ac:dyDescent="0.35">
      <c r="A7" s="45" t="s">
        <v>6</v>
      </c>
      <c r="C7" s="48"/>
      <c r="E7"/>
      <c r="H7" t="str">
        <f>IF(OR(ISBLANK(task_start),ISBLANK(task_end)),"",task_end-task_start+1)</f>
        <v/>
      </c>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row>
    <row r="8" spans="1:64" s="3" customFormat="1" ht="30" customHeight="1" thickBot="1" x14ac:dyDescent="0.35">
      <c r="A8" s="46" t="s">
        <v>7</v>
      </c>
      <c r="B8" s="15" t="s">
        <v>38</v>
      </c>
      <c r="C8" s="52"/>
      <c r="D8" s="16"/>
      <c r="E8" s="70"/>
      <c r="F8" s="71"/>
      <c r="G8" s="14"/>
      <c r="H8" s="14" t="str">
        <f t="shared" ref="H8:H35" si="6">IF(OR(ISBLANK(task_start),ISBLANK(task_end)),"",task_end-task_start+1)</f>
        <v/>
      </c>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row>
    <row r="9" spans="1:64" s="3" customFormat="1" ht="30" customHeight="1" thickBot="1" x14ac:dyDescent="0.35">
      <c r="A9" s="46" t="s">
        <v>8</v>
      </c>
      <c r="B9" s="61" t="s">
        <v>39</v>
      </c>
      <c r="C9" s="53"/>
      <c r="D9" s="17">
        <v>1</v>
      </c>
      <c r="E9" s="84">
        <v>46077</v>
      </c>
      <c r="F9" s="84">
        <v>46079</v>
      </c>
      <c r="G9" s="14"/>
      <c r="H9" s="14">
        <f t="shared" si="6"/>
        <v>3</v>
      </c>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1"/>
      <c r="BD9" s="31"/>
      <c r="BE9" s="31"/>
      <c r="BF9" s="31"/>
      <c r="BG9" s="31"/>
      <c r="BH9" s="31"/>
      <c r="BI9" s="31"/>
      <c r="BJ9" s="31"/>
      <c r="BK9" s="31"/>
      <c r="BL9" s="31"/>
    </row>
    <row r="10" spans="1:64" s="3" customFormat="1" ht="30" customHeight="1" thickBot="1" x14ac:dyDescent="0.35">
      <c r="A10" s="46"/>
      <c r="B10" s="61" t="s">
        <v>53</v>
      </c>
      <c r="C10" s="53"/>
      <c r="D10" s="17">
        <v>1</v>
      </c>
      <c r="E10" s="84">
        <v>46080</v>
      </c>
      <c r="F10" s="84">
        <v>46084</v>
      </c>
      <c r="G10" s="14"/>
      <c r="H10" s="14"/>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1"/>
      <c r="BD10" s="31"/>
      <c r="BE10" s="31"/>
      <c r="BF10" s="31"/>
      <c r="BG10" s="31"/>
      <c r="BH10" s="31"/>
      <c r="BI10" s="31"/>
      <c r="BJ10" s="31"/>
      <c r="BK10" s="31"/>
      <c r="BL10" s="31"/>
    </row>
    <row r="11" spans="1:64" s="3" customFormat="1" ht="30" customHeight="1" thickBot="1" x14ac:dyDescent="0.35">
      <c r="A11" s="46" t="s">
        <v>9</v>
      </c>
      <c r="B11" s="61" t="s">
        <v>40</v>
      </c>
      <c r="C11" s="53"/>
      <c r="D11" s="17">
        <v>1</v>
      </c>
      <c r="E11" s="84">
        <v>46085</v>
      </c>
      <c r="F11" s="84">
        <v>46091</v>
      </c>
      <c r="G11" s="14"/>
      <c r="H11" s="14">
        <f t="shared" si="6"/>
        <v>7</v>
      </c>
      <c r="I11" s="31"/>
      <c r="J11" s="31"/>
      <c r="K11" s="31"/>
      <c r="L11" s="31"/>
      <c r="M11" s="31"/>
      <c r="N11" s="31"/>
      <c r="O11" s="31"/>
      <c r="P11" s="31"/>
      <c r="Q11" s="31"/>
      <c r="R11" s="31"/>
      <c r="S11" s="31"/>
      <c r="T11" s="31"/>
      <c r="U11" s="32"/>
      <c r="V11" s="32"/>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D11" s="31"/>
      <c r="BE11" s="31"/>
      <c r="BF11" s="31"/>
      <c r="BG11" s="31"/>
      <c r="BH11" s="31"/>
      <c r="BI11" s="31"/>
      <c r="BJ11" s="31"/>
      <c r="BK11" s="31"/>
      <c r="BL11" s="31"/>
    </row>
    <row r="12" spans="1:64" s="3" customFormat="1" ht="30" customHeight="1" thickBot="1" x14ac:dyDescent="0.35">
      <c r="A12" s="45"/>
      <c r="B12" s="61" t="s">
        <v>41</v>
      </c>
      <c r="C12" s="53"/>
      <c r="D12" s="17">
        <v>1</v>
      </c>
      <c r="E12" s="84">
        <v>46092</v>
      </c>
      <c r="F12" s="84">
        <v>46095</v>
      </c>
      <c r="G12" s="14"/>
      <c r="H12" s="14">
        <f t="shared" si="6"/>
        <v>4</v>
      </c>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1"/>
      <c r="BJ12" s="31"/>
      <c r="BK12" s="31"/>
      <c r="BL12" s="31"/>
    </row>
    <row r="13" spans="1:64" s="3" customFormat="1" ht="30" customHeight="1" thickBot="1" x14ac:dyDescent="0.35">
      <c r="A13" s="45"/>
      <c r="B13" s="61" t="s">
        <v>42</v>
      </c>
      <c r="C13" s="53"/>
      <c r="D13" s="17">
        <v>1</v>
      </c>
      <c r="E13" s="84">
        <v>46096</v>
      </c>
      <c r="F13" s="84">
        <v>46096</v>
      </c>
      <c r="G13" s="14"/>
      <c r="H13" s="14">
        <f t="shared" si="6"/>
        <v>1</v>
      </c>
      <c r="I13" s="31"/>
      <c r="J13" s="31"/>
      <c r="K13" s="31"/>
      <c r="L13" s="31"/>
      <c r="M13" s="31"/>
      <c r="N13" s="31"/>
      <c r="O13" s="31"/>
      <c r="P13" s="31"/>
      <c r="Q13" s="31"/>
      <c r="R13" s="31"/>
      <c r="S13" s="31"/>
      <c r="T13" s="31"/>
      <c r="U13" s="31"/>
      <c r="V13" s="31"/>
      <c r="W13" s="31"/>
      <c r="X13" s="31"/>
      <c r="Y13" s="32"/>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1"/>
      <c r="BD13" s="31"/>
      <c r="BE13" s="31"/>
      <c r="BF13" s="31"/>
      <c r="BG13" s="31"/>
      <c r="BH13" s="31"/>
      <c r="BI13" s="31"/>
      <c r="BJ13" s="31"/>
      <c r="BK13" s="31"/>
      <c r="BL13" s="31"/>
    </row>
    <row r="14" spans="1:64" s="3" customFormat="1" ht="30" hidden="1" customHeight="1" thickBot="1" x14ac:dyDescent="0.35">
      <c r="A14" s="45"/>
      <c r="B14" s="61"/>
      <c r="C14" s="53"/>
      <c r="D14" s="17"/>
      <c r="E14" s="84"/>
      <c r="F14" s="84"/>
      <c r="G14" s="14"/>
      <c r="H14" s="14" t="str">
        <f t="shared" si="6"/>
        <v/>
      </c>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1"/>
      <c r="BD14" s="31"/>
      <c r="BE14" s="31"/>
      <c r="BF14" s="31"/>
      <c r="BG14" s="31"/>
      <c r="BH14" s="31"/>
      <c r="BI14" s="31"/>
      <c r="BJ14" s="31"/>
      <c r="BK14" s="31"/>
      <c r="BL14" s="31"/>
    </row>
    <row r="15" spans="1:64" s="3" customFormat="1" ht="30" customHeight="1" thickBot="1" x14ac:dyDescent="0.35">
      <c r="A15" s="46" t="s">
        <v>10</v>
      </c>
      <c r="B15" s="18" t="s">
        <v>43</v>
      </c>
      <c r="C15" s="54"/>
      <c r="D15" s="19"/>
      <c r="E15" s="72"/>
      <c r="F15" s="73"/>
      <c r="G15" s="14"/>
      <c r="H15" s="14" t="str">
        <f t="shared" si="6"/>
        <v/>
      </c>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3" customFormat="1" ht="30" customHeight="1" thickBot="1" x14ac:dyDescent="0.35">
      <c r="A16" s="46"/>
      <c r="B16" s="62" t="s">
        <v>54</v>
      </c>
      <c r="C16" s="55"/>
      <c r="D16" s="20">
        <v>1</v>
      </c>
      <c r="E16" s="85">
        <v>46097</v>
      </c>
      <c r="F16" s="85">
        <v>46103</v>
      </c>
      <c r="G16" s="14"/>
      <c r="H16" s="14">
        <f t="shared" si="6"/>
        <v>7</v>
      </c>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1"/>
      <c r="BD16" s="31"/>
      <c r="BE16" s="31"/>
      <c r="BF16" s="31"/>
      <c r="BG16" s="31"/>
      <c r="BH16" s="31"/>
      <c r="BI16" s="31"/>
      <c r="BJ16" s="31"/>
      <c r="BK16" s="31"/>
      <c r="BL16" s="31"/>
    </row>
    <row r="17" spans="1:64" s="3" customFormat="1" ht="30" customHeight="1" thickBot="1" x14ac:dyDescent="0.35">
      <c r="A17" s="45"/>
      <c r="B17" s="62" t="s">
        <v>61</v>
      </c>
      <c r="C17" s="55"/>
      <c r="D17" s="20">
        <v>0</v>
      </c>
      <c r="E17" s="85">
        <v>46104</v>
      </c>
      <c r="F17" s="85">
        <v>46114</v>
      </c>
      <c r="G17" s="14"/>
      <c r="H17" s="14">
        <f t="shared" si="6"/>
        <v>11</v>
      </c>
      <c r="I17" s="31"/>
      <c r="J17" s="31"/>
      <c r="K17" s="31"/>
      <c r="L17" s="31"/>
      <c r="M17" s="31"/>
      <c r="N17" s="31"/>
      <c r="O17" s="31"/>
      <c r="P17" s="31"/>
      <c r="Q17" s="31"/>
      <c r="R17" s="31"/>
      <c r="S17" s="31"/>
      <c r="T17" s="31"/>
      <c r="U17" s="32"/>
      <c r="V17" s="32"/>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1"/>
      <c r="BD17" s="31"/>
      <c r="BE17" s="31"/>
      <c r="BF17" s="31"/>
      <c r="BG17" s="31"/>
      <c r="BH17" s="31"/>
      <c r="BI17" s="31"/>
      <c r="BJ17" s="31"/>
      <c r="BK17" s="31"/>
      <c r="BL17" s="31"/>
    </row>
    <row r="18" spans="1:64" s="3" customFormat="1" ht="30" customHeight="1" thickBot="1" x14ac:dyDescent="0.35">
      <c r="A18" s="45"/>
      <c r="B18" s="62" t="s">
        <v>55</v>
      </c>
      <c r="C18" s="55"/>
      <c r="D18" s="20">
        <v>0</v>
      </c>
      <c r="E18" s="85">
        <v>46115</v>
      </c>
      <c r="F18" s="85">
        <v>46121</v>
      </c>
      <c r="G18" s="14"/>
      <c r="H18" s="14">
        <f t="shared" si="6"/>
        <v>7</v>
      </c>
      <c r="I18" s="31"/>
      <c r="J18" s="31"/>
      <c r="K18" s="31"/>
      <c r="L18" s="31"/>
      <c r="M18" s="31"/>
      <c r="N18" s="31"/>
      <c r="O18" s="31"/>
      <c r="P18" s="31"/>
      <c r="Q18" s="31"/>
      <c r="R18" s="31"/>
      <c r="S18" s="31"/>
      <c r="T18" s="31"/>
      <c r="U18" s="31"/>
      <c r="V18" s="31"/>
      <c r="W18" s="31"/>
      <c r="X18" s="31"/>
      <c r="Y18" s="31"/>
      <c r="Z18" s="31"/>
      <c r="AA18" s="31"/>
      <c r="AB18" s="31"/>
      <c r="AC18" s="31"/>
      <c r="AD18" s="31"/>
      <c r="AE18" s="31"/>
      <c r="AF18" s="31"/>
      <c r="AG18" s="31"/>
      <c r="AH18" s="31"/>
      <c r="AI18" s="31"/>
      <c r="AJ18" s="31"/>
      <c r="AK18" s="31"/>
      <c r="AL18" s="31"/>
      <c r="AM18" s="31"/>
      <c r="AN18" s="31"/>
      <c r="AO18" s="31"/>
      <c r="AP18" s="31"/>
      <c r="AQ18" s="31"/>
      <c r="AR18" s="31"/>
      <c r="AS18" s="31"/>
      <c r="AT18" s="31"/>
      <c r="AU18" s="31"/>
      <c r="AV18" s="31"/>
      <c r="AW18" s="31"/>
      <c r="AX18" s="31"/>
      <c r="AY18" s="31"/>
      <c r="AZ18" s="31"/>
      <c r="BA18" s="31"/>
      <c r="BB18" s="31"/>
      <c r="BC18" s="31"/>
      <c r="BD18" s="31"/>
      <c r="BE18" s="31"/>
      <c r="BF18" s="31"/>
      <c r="BG18" s="31"/>
      <c r="BH18" s="31"/>
      <c r="BI18" s="31"/>
      <c r="BJ18" s="31"/>
      <c r="BK18" s="31"/>
      <c r="BL18" s="31"/>
    </row>
    <row r="19" spans="1:64" s="3" customFormat="1" ht="30" customHeight="1" thickBot="1" x14ac:dyDescent="0.35">
      <c r="A19" s="45"/>
      <c r="B19" s="62" t="s">
        <v>56</v>
      </c>
      <c r="C19" s="55"/>
      <c r="D19" s="20">
        <v>0.2</v>
      </c>
      <c r="E19" s="85">
        <v>46122</v>
      </c>
      <c r="F19" s="85">
        <v>46128</v>
      </c>
      <c r="G19" s="14"/>
      <c r="H19" s="14">
        <f t="shared" si="6"/>
        <v>7</v>
      </c>
      <c r="I19" s="31"/>
      <c r="J19" s="31"/>
      <c r="K19" s="31"/>
      <c r="L19" s="31"/>
      <c r="M19" s="31"/>
      <c r="N19" s="31"/>
      <c r="O19" s="31"/>
      <c r="P19" s="31"/>
      <c r="Q19" s="31"/>
      <c r="R19" s="31"/>
      <c r="S19" s="31"/>
      <c r="T19" s="31"/>
      <c r="U19" s="31"/>
      <c r="V19" s="31"/>
      <c r="W19" s="31"/>
      <c r="X19" s="31"/>
      <c r="Y19" s="32"/>
      <c r="Z19" s="31"/>
      <c r="AA19" s="31"/>
      <c r="AB19" s="31"/>
      <c r="AC19" s="31"/>
      <c r="AD19" s="31"/>
      <c r="AE19" s="31"/>
      <c r="AF19" s="31"/>
      <c r="AG19" s="31"/>
      <c r="AH19" s="31"/>
      <c r="AI19" s="31"/>
      <c r="AJ19" s="31"/>
      <c r="AK19" s="31"/>
      <c r="AL19" s="31"/>
      <c r="AM19" s="31"/>
      <c r="AN19" s="31"/>
      <c r="AO19" s="31"/>
      <c r="AP19" s="31"/>
      <c r="AQ19" s="31"/>
      <c r="AR19" s="31"/>
      <c r="AS19" s="31"/>
      <c r="AT19" s="31"/>
      <c r="AU19" s="31"/>
      <c r="AV19" s="31"/>
      <c r="AW19" s="31"/>
      <c r="AX19" s="31"/>
      <c r="AY19" s="31"/>
      <c r="AZ19" s="31"/>
      <c r="BA19" s="31"/>
      <c r="BB19" s="31"/>
      <c r="BC19" s="31"/>
      <c r="BD19" s="31"/>
      <c r="BE19" s="31"/>
      <c r="BF19" s="31"/>
      <c r="BG19" s="31"/>
      <c r="BH19" s="31"/>
      <c r="BI19" s="31"/>
      <c r="BJ19" s="31"/>
      <c r="BK19" s="31"/>
      <c r="BL19" s="31"/>
    </row>
    <row r="20" spans="1:64" s="3" customFormat="1" ht="30" customHeight="1" thickBot="1" x14ac:dyDescent="0.35">
      <c r="A20" s="45"/>
      <c r="B20" s="62" t="s">
        <v>57</v>
      </c>
      <c r="C20" s="55"/>
      <c r="D20" s="20">
        <v>0</v>
      </c>
      <c r="E20" s="85">
        <v>46129</v>
      </c>
      <c r="F20" s="85">
        <v>46136</v>
      </c>
      <c r="G20" s="14"/>
      <c r="H20" s="14"/>
      <c r="I20" s="31"/>
      <c r="J20" s="31"/>
      <c r="K20" s="31"/>
      <c r="L20" s="31"/>
      <c r="M20" s="31"/>
      <c r="N20" s="31"/>
      <c r="O20" s="31"/>
      <c r="P20" s="31"/>
      <c r="Q20" s="31"/>
      <c r="R20" s="31"/>
      <c r="S20" s="31"/>
      <c r="T20" s="31"/>
      <c r="U20" s="31"/>
      <c r="V20" s="31"/>
      <c r="W20" s="31"/>
      <c r="X20" s="31"/>
      <c r="Y20" s="32"/>
      <c r="Z20" s="31"/>
      <c r="AA20" s="31"/>
      <c r="AB20" s="31"/>
      <c r="AC20" s="31"/>
      <c r="AD20" s="31"/>
      <c r="AE20" s="31"/>
      <c r="AF20" s="31"/>
      <c r="AG20" s="31"/>
      <c r="AH20" s="31"/>
      <c r="AI20" s="31"/>
      <c r="AJ20" s="31"/>
      <c r="AK20" s="31"/>
      <c r="AL20" s="31"/>
      <c r="AM20" s="31"/>
      <c r="AN20" s="31"/>
      <c r="AO20" s="31"/>
      <c r="AP20" s="31"/>
      <c r="AQ20" s="31"/>
      <c r="AR20" s="31"/>
      <c r="AS20" s="31"/>
      <c r="AT20" s="31"/>
      <c r="AU20" s="31"/>
      <c r="AV20" s="31"/>
      <c r="AW20" s="31"/>
      <c r="AX20" s="31"/>
      <c r="AY20" s="31"/>
      <c r="AZ20" s="31"/>
      <c r="BA20" s="31"/>
      <c r="BB20" s="31"/>
      <c r="BC20" s="31"/>
      <c r="BD20" s="31"/>
      <c r="BE20" s="31"/>
      <c r="BF20" s="31"/>
      <c r="BG20" s="31"/>
      <c r="BH20" s="31"/>
      <c r="BI20" s="31"/>
      <c r="BJ20" s="31"/>
      <c r="BK20" s="31"/>
      <c r="BL20" s="31"/>
    </row>
    <row r="21" spans="1:64" s="3" customFormat="1" ht="30" customHeight="1" thickBot="1" x14ac:dyDescent="0.35">
      <c r="A21" s="45"/>
      <c r="B21" s="62" t="s">
        <v>44</v>
      </c>
      <c r="C21" s="55"/>
      <c r="D21" s="20">
        <v>0</v>
      </c>
      <c r="E21" s="85">
        <v>46137</v>
      </c>
      <c r="F21" s="85">
        <v>46137</v>
      </c>
      <c r="G21" s="14"/>
      <c r="H21" s="14">
        <f t="shared" si="6"/>
        <v>1</v>
      </c>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c r="AH21" s="31"/>
      <c r="AI21" s="31"/>
      <c r="AJ21" s="31"/>
      <c r="AK21" s="31"/>
      <c r="AL21" s="31"/>
      <c r="AM21" s="31"/>
      <c r="AN21" s="31"/>
      <c r="AO21" s="31"/>
      <c r="AP21" s="31"/>
      <c r="AQ21" s="31"/>
      <c r="AR21" s="31"/>
      <c r="AS21" s="31"/>
      <c r="AT21" s="31"/>
      <c r="AU21" s="31"/>
      <c r="AV21" s="31"/>
      <c r="AW21" s="31"/>
      <c r="AX21" s="31"/>
      <c r="AY21" s="31"/>
      <c r="AZ21" s="31"/>
      <c r="BA21" s="31"/>
      <c r="BB21" s="31"/>
      <c r="BC21" s="31"/>
      <c r="BD21" s="31"/>
      <c r="BE21" s="31"/>
      <c r="BF21" s="31"/>
      <c r="BG21" s="31"/>
      <c r="BH21" s="31"/>
      <c r="BI21" s="31"/>
      <c r="BJ21" s="31"/>
      <c r="BK21" s="31"/>
      <c r="BL21" s="31"/>
    </row>
    <row r="22" spans="1:64" s="3" customFormat="1" ht="30" customHeight="1" thickBot="1" x14ac:dyDescent="0.35">
      <c r="A22" s="45" t="s">
        <v>11</v>
      </c>
      <c r="B22" s="21" t="s">
        <v>45</v>
      </c>
      <c r="C22" s="56"/>
      <c r="D22" s="22"/>
      <c r="E22" s="74"/>
      <c r="F22" s="75"/>
      <c r="G22" s="14"/>
      <c r="H22" s="14" t="str">
        <f t="shared" si="6"/>
        <v/>
      </c>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c r="AH22" s="31"/>
      <c r="AI22" s="31"/>
      <c r="AJ22" s="31"/>
      <c r="AK22" s="31"/>
      <c r="AL22" s="31"/>
      <c r="AM22" s="31"/>
      <c r="AN22" s="31"/>
      <c r="AO22" s="31"/>
      <c r="AP22" s="31"/>
      <c r="AQ22" s="31"/>
      <c r="AR22" s="31"/>
      <c r="AS22" s="31"/>
      <c r="AT22" s="31"/>
      <c r="AU22" s="31"/>
      <c r="AV22" s="31"/>
      <c r="AW22" s="31"/>
      <c r="AX22" s="31"/>
      <c r="AY22" s="31"/>
      <c r="AZ22" s="31"/>
      <c r="BA22" s="31"/>
      <c r="BB22" s="31"/>
      <c r="BC22" s="31"/>
      <c r="BD22" s="31"/>
      <c r="BE22" s="31"/>
      <c r="BF22" s="31"/>
      <c r="BG22" s="31"/>
      <c r="BH22" s="31"/>
      <c r="BI22" s="31"/>
      <c r="BJ22" s="31"/>
      <c r="BK22" s="31"/>
      <c r="BL22" s="31"/>
    </row>
    <row r="23" spans="1:64" s="3" customFormat="1" ht="30" customHeight="1" thickBot="1" x14ac:dyDescent="0.35">
      <c r="A23" s="45"/>
      <c r="B23" s="63" t="s">
        <v>58</v>
      </c>
      <c r="C23" s="57"/>
      <c r="D23" s="23">
        <v>0</v>
      </c>
      <c r="E23" s="76">
        <v>46138</v>
      </c>
      <c r="F23" s="76">
        <v>46144</v>
      </c>
      <c r="G23" s="14"/>
      <c r="H23" s="14">
        <f t="shared" si="6"/>
        <v>7</v>
      </c>
      <c r="I23" s="31"/>
      <c r="J23" s="31"/>
      <c r="K23" s="31"/>
      <c r="L23" s="31"/>
      <c r="M23" s="31"/>
      <c r="N23" s="31"/>
      <c r="O23" s="31"/>
      <c r="P23" s="31"/>
      <c r="Q23" s="31"/>
      <c r="R23" s="31"/>
      <c r="S23" s="31"/>
      <c r="T23" s="31"/>
      <c r="U23" s="31"/>
      <c r="V23" s="31"/>
      <c r="W23" s="31"/>
      <c r="X23" s="31"/>
      <c r="Y23" s="31"/>
      <c r="Z23" s="31"/>
      <c r="AA23" s="31"/>
      <c r="AB23" s="31"/>
      <c r="AC23" s="31"/>
      <c r="AD23" s="31"/>
      <c r="AE23" s="31"/>
      <c r="AF23" s="31"/>
      <c r="AG23" s="31"/>
      <c r="AH23" s="31"/>
      <c r="AI23" s="31"/>
      <c r="AJ23" s="31"/>
      <c r="AK23" s="31"/>
      <c r="AL23" s="31"/>
      <c r="AM23" s="31"/>
      <c r="AN23" s="31"/>
      <c r="AO23" s="31"/>
      <c r="AP23" s="31"/>
      <c r="AQ23" s="31"/>
      <c r="AR23" s="31"/>
      <c r="AS23" s="31"/>
      <c r="AT23" s="31"/>
      <c r="AU23" s="31"/>
      <c r="AV23" s="31"/>
      <c r="AW23" s="31"/>
      <c r="AX23" s="31"/>
      <c r="AY23" s="31"/>
      <c r="AZ23" s="31"/>
      <c r="BA23" s="31"/>
      <c r="BB23" s="31"/>
      <c r="BC23" s="31"/>
      <c r="BD23" s="31"/>
      <c r="BE23" s="31"/>
      <c r="BF23" s="31"/>
      <c r="BG23" s="31"/>
      <c r="BH23" s="31"/>
      <c r="BI23" s="31"/>
      <c r="BJ23" s="31"/>
      <c r="BK23" s="31"/>
      <c r="BL23" s="31"/>
    </row>
    <row r="24" spans="1:64" s="3" customFormat="1" ht="30" customHeight="1" thickBot="1" x14ac:dyDescent="0.35">
      <c r="A24" s="45"/>
      <c r="B24" s="63" t="s">
        <v>59</v>
      </c>
      <c r="C24" s="57"/>
      <c r="D24" s="23">
        <v>0</v>
      </c>
      <c r="E24" s="76">
        <v>46145</v>
      </c>
      <c r="F24" s="76">
        <v>46148</v>
      </c>
      <c r="G24" s="14"/>
      <c r="H24" s="14">
        <f t="shared" si="6"/>
        <v>4</v>
      </c>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row>
    <row r="25" spans="1:64" s="3" customFormat="1" ht="30" customHeight="1" thickBot="1" x14ac:dyDescent="0.35">
      <c r="A25" s="45"/>
      <c r="B25" s="63" t="s">
        <v>60</v>
      </c>
      <c r="C25" s="57"/>
      <c r="D25" s="23">
        <v>0</v>
      </c>
      <c r="E25" s="76">
        <v>46138</v>
      </c>
      <c r="F25" s="76">
        <v>46151</v>
      </c>
      <c r="G25" s="14"/>
      <c r="H25" s="14">
        <f t="shared" si="6"/>
        <v>14</v>
      </c>
      <c r="I25" s="31"/>
      <c r="J25" s="31"/>
      <c r="K25" s="31"/>
      <c r="L25" s="31"/>
      <c r="M25" s="31"/>
      <c r="N25" s="31"/>
      <c r="O25" s="31"/>
      <c r="P25" s="31"/>
      <c r="Q25" s="31"/>
      <c r="R25" s="31"/>
      <c r="S25" s="31"/>
      <c r="T25" s="31"/>
      <c r="U25" s="31"/>
      <c r="V25" s="31"/>
      <c r="W25" s="31"/>
      <c r="X25" s="31"/>
      <c r="Y25" s="31"/>
      <c r="Z25" s="31"/>
      <c r="AA25" s="31"/>
      <c r="AB25" s="31"/>
      <c r="AC25" s="31"/>
      <c r="AD25" s="31"/>
      <c r="AE25" s="31"/>
      <c r="AF25" s="31"/>
      <c r="AG25" s="31"/>
      <c r="AH25" s="31"/>
      <c r="AI25" s="31"/>
      <c r="AJ25" s="31"/>
      <c r="AK25" s="31"/>
      <c r="AL25" s="31"/>
      <c r="AM25" s="31"/>
      <c r="AN25" s="31"/>
      <c r="AO25" s="31"/>
      <c r="AP25" s="31"/>
      <c r="AQ25" s="31"/>
      <c r="AR25" s="31"/>
      <c r="AS25" s="31"/>
      <c r="AT25" s="31"/>
      <c r="AU25" s="31"/>
      <c r="AV25" s="31"/>
      <c r="AW25" s="31"/>
      <c r="AX25" s="31"/>
      <c r="AY25" s="31"/>
      <c r="AZ25" s="31"/>
      <c r="BA25" s="31"/>
      <c r="BB25" s="31"/>
      <c r="BC25" s="31"/>
      <c r="BD25" s="31"/>
      <c r="BE25" s="31"/>
      <c r="BF25" s="31"/>
      <c r="BG25" s="31"/>
      <c r="BH25" s="31"/>
      <c r="BI25" s="31"/>
      <c r="BJ25" s="31"/>
      <c r="BK25" s="31"/>
      <c r="BL25" s="31"/>
    </row>
    <row r="26" spans="1:64" s="3" customFormat="1" ht="30" customHeight="1" thickBot="1" x14ac:dyDescent="0.35">
      <c r="A26" s="45"/>
      <c r="B26" s="63" t="s">
        <v>46</v>
      </c>
      <c r="C26" s="57"/>
      <c r="D26" s="23">
        <v>0</v>
      </c>
      <c r="E26" s="76">
        <v>46152</v>
      </c>
      <c r="F26" s="76">
        <v>46152</v>
      </c>
      <c r="G26" s="14"/>
      <c r="H26" s="14">
        <f t="shared" si="6"/>
        <v>1</v>
      </c>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c r="AR26" s="31"/>
      <c r="AS26" s="31"/>
      <c r="AT26" s="31"/>
      <c r="AU26" s="31"/>
      <c r="AV26" s="31"/>
      <c r="AW26" s="31"/>
      <c r="AX26" s="31"/>
      <c r="AY26" s="31"/>
      <c r="AZ26" s="31"/>
      <c r="BA26" s="31"/>
      <c r="BB26" s="31"/>
      <c r="BC26" s="31"/>
      <c r="BD26" s="31"/>
      <c r="BE26" s="31"/>
      <c r="BF26" s="31"/>
      <c r="BG26" s="31"/>
      <c r="BH26" s="31"/>
      <c r="BI26" s="31"/>
      <c r="BJ26" s="31"/>
      <c r="BK26" s="31"/>
      <c r="BL26" s="31"/>
    </row>
    <row r="27" spans="1:64" s="3" customFormat="1" ht="30" hidden="1" customHeight="1" thickBot="1" x14ac:dyDescent="0.35">
      <c r="A27" s="45"/>
      <c r="B27" s="63"/>
      <c r="C27" s="57"/>
      <c r="D27" s="23"/>
      <c r="E27" s="76"/>
      <c r="F27" s="76"/>
      <c r="G27" s="14"/>
      <c r="H27" s="14" t="str">
        <f t="shared" si="6"/>
        <v/>
      </c>
      <c r="I27" s="31"/>
      <c r="J27" s="31"/>
      <c r="K27" s="31"/>
      <c r="L27" s="31"/>
      <c r="M27" s="31"/>
      <c r="N27" s="31"/>
      <c r="O27" s="31"/>
      <c r="P27" s="31"/>
      <c r="Q27" s="31"/>
      <c r="R27" s="31"/>
      <c r="S27" s="31"/>
      <c r="T27" s="31"/>
      <c r="U27" s="31"/>
      <c r="V27" s="31"/>
      <c r="W27" s="31"/>
      <c r="X27" s="31"/>
      <c r="Y27" s="31"/>
      <c r="Z27" s="31"/>
      <c r="AA27" s="31"/>
      <c r="AB27" s="31"/>
      <c r="AC27" s="31"/>
      <c r="AD27" s="31"/>
      <c r="AE27" s="31"/>
      <c r="AF27" s="31"/>
      <c r="AG27" s="31"/>
      <c r="AH27" s="31"/>
      <c r="AI27" s="31"/>
      <c r="AJ27" s="31"/>
      <c r="AK27" s="31"/>
      <c r="AL27" s="31"/>
      <c r="AM27" s="31"/>
      <c r="AN27" s="31"/>
      <c r="AO27" s="31"/>
      <c r="AP27" s="31"/>
      <c r="AQ27" s="31"/>
      <c r="AR27" s="31"/>
      <c r="AS27" s="31"/>
      <c r="AT27" s="31"/>
      <c r="AU27" s="31"/>
      <c r="AV27" s="31"/>
      <c r="AW27" s="31"/>
      <c r="AX27" s="31"/>
      <c r="AY27" s="31"/>
      <c r="AZ27" s="31"/>
      <c r="BA27" s="31"/>
      <c r="BB27" s="31"/>
      <c r="BC27" s="31"/>
      <c r="BD27" s="31"/>
      <c r="BE27" s="31"/>
      <c r="BF27" s="31"/>
      <c r="BG27" s="31"/>
      <c r="BH27" s="31"/>
      <c r="BI27" s="31"/>
      <c r="BJ27" s="31"/>
      <c r="BK27" s="31"/>
      <c r="BL27" s="31"/>
    </row>
    <row r="28" spans="1:64" s="3" customFormat="1" ht="30" customHeight="1" thickBot="1" x14ac:dyDescent="0.35">
      <c r="A28" s="45" t="s">
        <v>11</v>
      </c>
      <c r="B28" s="24" t="s">
        <v>47</v>
      </c>
      <c r="C28" s="58"/>
      <c r="D28" s="25"/>
      <c r="E28" s="77"/>
      <c r="F28" s="78"/>
      <c r="G28" s="14"/>
      <c r="H28" s="14" t="str">
        <f t="shared" si="6"/>
        <v/>
      </c>
      <c r="I28" s="31"/>
      <c r="J28" s="31"/>
      <c r="K28" s="31"/>
      <c r="L28" s="31"/>
      <c r="M28" s="31"/>
      <c r="N28" s="31"/>
      <c r="O28" s="31"/>
      <c r="P28" s="31"/>
      <c r="Q28" s="31"/>
      <c r="R28" s="31"/>
      <c r="S28" s="31"/>
      <c r="T28" s="31"/>
      <c r="U28" s="31"/>
      <c r="V28" s="31"/>
      <c r="W28" s="31"/>
      <c r="X28" s="31"/>
      <c r="Y28" s="31"/>
      <c r="Z28" s="31"/>
      <c r="AA28" s="31"/>
      <c r="AB28" s="31"/>
      <c r="AC28" s="31"/>
      <c r="AD28" s="31"/>
      <c r="AE28" s="31"/>
      <c r="AF28" s="31"/>
      <c r="AG28" s="31"/>
      <c r="AH28" s="31"/>
      <c r="AI28" s="31"/>
      <c r="AJ28" s="31"/>
      <c r="AK28" s="31"/>
      <c r="AL28" s="31"/>
      <c r="AM28" s="31"/>
      <c r="AN28" s="31"/>
      <c r="AO28" s="31"/>
      <c r="AP28" s="31"/>
      <c r="AQ28" s="31"/>
      <c r="AR28" s="31"/>
      <c r="AS28" s="31"/>
      <c r="AT28" s="31"/>
      <c r="AU28" s="31"/>
      <c r="AV28" s="31"/>
      <c r="AW28" s="31"/>
      <c r="AX28" s="31"/>
      <c r="AY28" s="31"/>
      <c r="AZ28" s="31"/>
      <c r="BA28" s="31"/>
      <c r="BB28" s="31"/>
      <c r="BC28" s="31"/>
      <c r="BD28" s="31"/>
      <c r="BE28" s="31"/>
      <c r="BF28" s="31"/>
      <c r="BG28" s="31"/>
      <c r="BH28" s="31"/>
      <c r="BI28" s="31"/>
      <c r="BJ28" s="31"/>
      <c r="BK28" s="31"/>
      <c r="BL28" s="31"/>
    </row>
    <row r="29" spans="1:64" s="3" customFormat="1" ht="30" customHeight="1" thickBot="1" x14ac:dyDescent="0.35">
      <c r="A29" s="45"/>
      <c r="B29" s="64" t="s">
        <v>48</v>
      </c>
      <c r="C29" s="59"/>
      <c r="D29" s="26"/>
      <c r="E29" s="86">
        <v>46153</v>
      </c>
      <c r="F29" s="86">
        <v>46160</v>
      </c>
      <c r="G29" s="14"/>
      <c r="H29" s="14">
        <f t="shared" si="6"/>
        <v>8</v>
      </c>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c r="AH29" s="31"/>
      <c r="AI29" s="31"/>
      <c r="AJ29" s="31"/>
      <c r="AK29" s="31"/>
      <c r="AL29" s="31"/>
      <c r="AM29" s="31"/>
      <c r="AN29" s="31"/>
      <c r="AO29" s="31"/>
      <c r="AP29" s="31"/>
      <c r="AQ29" s="31"/>
      <c r="AR29" s="31"/>
      <c r="AS29" s="31"/>
      <c r="AT29" s="31"/>
      <c r="AU29" s="31"/>
      <c r="AV29" s="31"/>
      <c r="AW29" s="31"/>
      <c r="AX29" s="31"/>
      <c r="AY29" s="31"/>
      <c r="AZ29" s="31"/>
      <c r="BA29" s="31"/>
      <c r="BB29" s="31"/>
      <c r="BC29" s="31"/>
      <c r="BD29" s="31"/>
      <c r="BE29" s="31"/>
      <c r="BF29" s="31"/>
      <c r="BG29" s="31"/>
      <c r="BH29" s="31"/>
      <c r="BI29" s="31"/>
      <c r="BJ29" s="31"/>
      <c r="BK29" s="31"/>
      <c r="BL29" s="31"/>
    </row>
    <row r="30" spans="1:64" s="3" customFormat="1" ht="30" customHeight="1" thickBot="1" x14ac:dyDescent="0.35">
      <c r="A30" s="45"/>
      <c r="B30" s="64" t="s">
        <v>49</v>
      </c>
      <c r="C30" s="59"/>
      <c r="D30" s="26"/>
      <c r="E30" s="86">
        <v>46161</v>
      </c>
      <c r="F30" s="86">
        <v>46162</v>
      </c>
      <c r="G30" s="14"/>
      <c r="H30" s="14">
        <f t="shared" si="6"/>
        <v>2</v>
      </c>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c r="AR30" s="31"/>
      <c r="AS30" s="31"/>
      <c r="AT30" s="31"/>
      <c r="AU30" s="31"/>
      <c r="AV30" s="31"/>
      <c r="AW30" s="31"/>
      <c r="AX30" s="31"/>
      <c r="AY30" s="31"/>
      <c r="AZ30" s="31"/>
      <c r="BA30" s="31"/>
      <c r="BB30" s="31"/>
      <c r="BC30" s="31"/>
      <c r="BD30" s="31"/>
      <c r="BE30" s="31"/>
      <c r="BF30" s="31"/>
      <c r="BG30" s="31"/>
      <c r="BH30" s="31"/>
      <c r="BI30" s="31"/>
      <c r="BJ30" s="31"/>
      <c r="BK30" s="31"/>
      <c r="BL30" s="31"/>
    </row>
    <row r="31" spans="1:64" s="3" customFormat="1" ht="30" customHeight="1" thickBot="1" x14ac:dyDescent="0.35">
      <c r="A31" s="45"/>
      <c r="B31" s="64" t="s">
        <v>50</v>
      </c>
      <c r="C31" s="59"/>
      <c r="D31" s="26"/>
      <c r="E31" s="86">
        <v>46163</v>
      </c>
      <c r="F31" s="86">
        <v>46163</v>
      </c>
      <c r="G31" s="14"/>
      <c r="H31" s="14">
        <f t="shared" si="6"/>
        <v>1</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row>
    <row r="32" spans="1:64" s="3" customFormat="1" ht="30" hidden="1" customHeight="1" thickBot="1" x14ac:dyDescent="0.35">
      <c r="A32" s="45"/>
      <c r="B32" s="64"/>
      <c r="C32" s="59"/>
      <c r="D32" s="26"/>
      <c r="E32" s="86"/>
      <c r="F32" s="86"/>
      <c r="G32" s="14"/>
      <c r="H32" s="14"/>
      <c r="I32" s="31"/>
      <c r="J32" s="31"/>
      <c r="K32" s="31"/>
      <c r="L32" s="31"/>
      <c r="M32" s="31"/>
      <c r="N32" s="31"/>
      <c r="O32" s="31"/>
      <c r="P32" s="31"/>
      <c r="Q32" s="31"/>
      <c r="R32" s="31"/>
      <c r="S32" s="31"/>
      <c r="T32" s="31"/>
      <c r="U32" s="31"/>
      <c r="V32" s="31"/>
      <c r="W32" s="31"/>
      <c r="X32" s="31"/>
      <c r="Y32" s="31"/>
      <c r="Z32" s="31"/>
      <c r="AA32" s="31"/>
      <c r="AB32" s="31"/>
      <c r="AC32" s="31"/>
      <c r="AD32" s="31"/>
      <c r="AE32" s="31"/>
      <c r="AF32" s="31"/>
      <c r="AG32" s="31"/>
      <c r="AH32" s="31"/>
      <c r="AI32" s="31"/>
      <c r="AJ32" s="31"/>
      <c r="AK32" s="31"/>
      <c r="AL32" s="31"/>
      <c r="AM32" s="31"/>
      <c r="AN32" s="31"/>
      <c r="AO32" s="31"/>
      <c r="AP32" s="31"/>
      <c r="AQ32" s="31"/>
      <c r="AR32" s="31"/>
      <c r="AS32" s="31"/>
      <c r="AT32" s="31"/>
      <c r="AU32" s="31"/>
      <c r="AV32" s="31"/>
      <c r="AW32" s="31"/>
      <c r="AX32" s="31"/>
      <c r="AY32" s="31"/>
      <c r="AZ32" s="31"/>
      <c r="BA32" s="31"/>
      <c r="BB32" s="31"/>
      <c r="BC32" s="31"/>
      <c r="BD32" s="31"/>
      <c r="BE32" s="31"/>
      <c r="BF32" s="31"/>
      <c r="BG32" s="31"/>
      <c r="BH32" s="31"/>
      <c r="BI32" s="31"/>
      <c r="BJ32" s="31"/>
      <c r="BK32" s="31"/>
      <c r="BL32" s="31"/>
    </row>
    <row r="33" spans="1:64" s="3" customFormat="1" ht="30" hidden="1" customHeight="1" thickBot="1" x14ac:dyDescent="0.35">
      <c r="A33" s="45"/>
      <c r="B33" s="64"/>
      <c r="C33" s="59"/>
      <c r="D33" s="26"/>
      <c r="E33" s="86"/>
      <c r="F33" s="86"/>
      <c r="G33" s="14"/>
      <c r="H33" s="14" t="str">
        <f t="shared" si="6"/>
        <v/>
      </c>
      <c r="I33" s="31"/>
      <c r="J33" s="31"/>
      <c r="K33" s="31"/>
      <c r="L33" s="31"/>
      <c r="M33" s="31"/>
      <c r="N33" s="31"/>
      <c r="O33" s="31"/>
      <c r="P33" s="31"/>
      <c r="Q33" s="31"/>
      <c r="R33" s="31"/>
      <c r="S33" s="31"/>
      <c r="T33" s="31"/>
      <c r="U33" s="31"/>
      <c r="V33" s="31"/>
      <c r="W33" s="31"/>
      <c r="X33" s="31"/>
      <c r="Y33" s="31"/>
      <c r="Z33" s="31"/>
      <c r="AA33" s="31"/>
      <c r="AB33" s="31"/>
      <c r="AC33" s="31"/>
      <c r="AD33" s="31"/>
      <c r="AE33" s="31"/>
      <c r="AF33" s="31"/>
      <c r="AG33" s="31"/>
      <c r="AH33" s="31"/>
      <c r="AI33" s="31"/>
      <c r="AJ33" s="31"/>
      <c r="AK33" s="31"/>
      <c r="AL33" s="31"/>
      <c r="AM33" s="31"/>
      <c r="AN33" s="31"/>
      <c r="AO33" s="31"/>
      <c r="AP33" s="31"/>
      <c r="AQ33" s="31"/>
      <c r="AR33" s="31"/>
      <c r="AS33" s="31"/>
      <c r="AT33" s="31"/>
      <c r="AU33" s="31"/>
      <c r="AV33" s="31"/>
      <c r="AW33" s="31"/>
      <c r="AX33" s="31"/>
      <c r="AY33" s="31"/>
      <c r="AZ33" s="31"/>
      <c r="BA33" s="31"/>
      <c r="BB33" s="31"/>
      <c r="BC33" s="31"/>
      <c r="BD33" s="31"/>
      <c r="BE33" s="31"/>
      <c r="BF33" s="31"/>
      <c r="BG33" s="31"/>
      <c r="BH33" s="31"/>
      <c r="BI33" s="31"/>
      <c r="BJ33" s="31"/>
      <c r="BK33" s="31"/>
      <c r="BL33" s="31"/>
    </row>
    <row r="34" spans="1:64" s="3" customFormat="1" ht="30" customHeight="1" thickBot="1" x14ac:dyDescent="0.35">
      <c r="A34" s="45" t="s">
        <v>12</v>
      </c>
      <c r="B34" s="65"/>
      <c r="C34" s="60"/>
      <c r="D34" s="13"/>
      <c r="E34" s="87"/>
      <c r="F34" s="87"/>
      <c r="G34" s="14"/>
      <c r="H34" s="14" t="str">
        <f t="shared" si="6"/>
        <v/>
      </c>
      <c r="I34" s="31"/>
      <c r="J34" s="31"/>
      <c r="K34" s="31"/>
      <c r="L34" s="31"/>
      <c r="M34" s="31"/>
      <c r="N34" s="31"/>
      <c r="O34" s="31"/>
      <c r="P34" s="31"/>
      <c r="Q34" s="31"/>
      <c r="R34" s="31"/>
      <c r="S34" s="31"/>
      <c r="T34" s="31"/>
      <c r="U34" s="31"/>
      <c r="V34" s="31"/>
      <c r="W34" s="31"/>
      <c r="X34" s="31"/>
      <c r="Y34" s="31"/>
      <c r="Z34" s="31"/>
      <c r="AA34" s="31"/>
      <c r="AB34" s="31"/>
      <c r="AC34" s="31"/>
      <c r="AD34" s="31"/>
      <c r="AE34" s="31"/>
      <c r="AF34" s="31"/>
      <c r="AG34" s="31"/>
      <c r="AH34" s="31"/>
      <c r="AI34" s="31"/>
      <c r="AJ34" s="31"/>
      <c r="AK34" s="31"/>
      <c r="AL34" s="31"/>
      <c r="AM34" s="31"/>
      <c r="AN34" s="31"/>
      <c r="AO34" s="31"/>
      <c r="AP34" s="31"/>
      <c r="AQ34" s="31"/>
      <c r="AR34" s="31"/>
      <c r="AS34" s="31"/>
      <c r="AT34" s="31"/>
      <c r="AU34" s="31"/>
      <c r="AV34" s="31"/>
      <c r="AW34" s="31"/>
      <c r="AX34" s="31"/>
      <c r="AY34" s="31"/>
      <c r="AZ34" s="31"/>
      <c r="BA34" s="31"/>
      <c r="BB34" s="31"/>
      <c r="BC34" s="31"/>
      <c r="BD34" s="31"/>
      <c r="BE34" s="31"/>
      <c r="BF34" s="31"/>
      <c r="BG34" s="31"/>
      <c r="BH34" s="31"/>
      <c r="BI34" s="31"/>
      <c r="BJ34" s="31"/>
      <c r="BK34" s="31"/>
      <c r="BL34" s="31"/>
    </row>
    <row r="35" spans="1:64" s="3" customFormat="1" ht="30" customHeight="1" thickBot="1" x14ac:dyDescent="0.35">
      <c r="A35" s="46" t="s">
        <v>13</v>
      </c>
      <c r="B35" s="27" t="s">
        <v>15</v>
      </c>
      <c r="C35" s="28"/>
      <c r="D35" s="29"/>
      <c r="E35" s="79"/>
      <c r="F35" s="80"/>
      <c r="G35" s="30"/>
      <c r="H35" s="30" t="str">
        <f t="shared" si="6"/>
        <v/>
      </c>
      <c r="I35" s="33"/>
      <c r="J35" s="33"/>
      <c r="K35" s="33"/>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c r="AV35" s="33"/>
      <c r="AW35" s="33"/>
      <c r="AX35" s="33"/>
      <c r="AY35" s="33"/>
      <c r="AZ35" s="33"/>
      <c r="BA35" s="33"/>
      <c r="BB35" s="33"/>
      <c r="BC35" s="33"/>
      <c r="BD35" s="33"/>
      <c r="BE35" s="33"/>
      <c r="BF35" s="33"/>
      <c r="BG35" s="33"/>
      <c r="BH35" s="33"/>
      <c r="BI35" s="33"/>
      <c r="BJ35" s="33"/>
      <c r="BK35" s="33"/>
      <c r="BL35" s="33"/>
    </row>
    <row r="36" spans="1:64" ht="30" customHeight="1" x14ac:dyDescent="0.3">
      <c r="G36" s="6"/>
    </row>
    <row r="37" spans="1:64" ht="30" customHeight="1" x14ac:dyDescent="0.3">
      <c r="C37" s="11"/>
      <c r="F37" s="47"/>
    </row>
    <row r="38" spans="1:64" ht="30" customHeight="1" x14ac:dyDescent="0.3">
      <c r="C38" s="12"/>
    </row>
  </sheetData>
  <mergeCells count="11">
    <mergeCell ref="C3:D3"/>
    <mergeCell ref="C4:D4"/>
    <mergeCell ref="AK4:AQ4"/>
    <mergeCell ref="AR4:AX4"/>
    <mergeCell ref="AY4:BE4"/>
    <mergeCell ref="BF4:BL4"/>
    <mergeCell ref="E3:F3"/>
    <mergeCell ref="I4:O4"/>
    <mergeCell ref="P4:V4"/>
    <mergeCell ref="W4:AC4"/>
    <mergeCell ref="AD4:AJ4"/>
  </mergeCells>
  <conditionalFormatting sqref="D7:D9 D11:D19 D21:D35">
    <cfRule type="dataBar" priority="22">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9 I11:BL19 I21:BL35">
    <cfRule type="expression" dxfId="8" priority="41">
      <formula>AND(TODAY()&gt;=I$5,TODAY()&lt;J$5)</formula>
    </cfRule>
  </conditionalFormatting>
  <conditionalFormatting sqref="I7:BL9 I11:BL19 I21:BL35">
    <cfRule type="expression" dxfId="7" priority="35">
      <formula>AND(task_start&lt;=I$5,ROUNDDOWN((task_end-task_start+1)*task_progress,0)+task_start-1&gt;=I$5)</formula>
    </cfRule>
    <cfRule type="expression" dxfId="6" priority="36" stopIfTrue="1">
      <formula>AND(task_end&gt;=I$5,task_start&lt;J$5)</formula>
    </cfRule>
  </conditionalFormatting>
  <conditionalFormatting sqref="D10">
    <cfRule type="dataBar" priority="5">
      <dataBar>
        <cfvo type="num" val="0"/>
        <cfvo type="num" val="1"/>
        <color theme="0" tint="-0.249977111117893"/>
      </dataBar>
      <extLst>
        <ext xmlns:x14="http://schemas.microsoft.com/office/spreadsheetml/2009/9/main" uri="{B025F937-C7B1-47D3-B67F-A62EFF666E3E}">
          <x14:id>{AC3B305C-A13D-48C0-807A-E91C71FE469E}</x14:id>
        </ext>
      </extLst>
    </cfRule>
  </conditionalFormatting>
  <conditionalFormatting sqref="I10:BL10">
    <cfRule type="expression" dxfId="5" priority="8">
      <formula>AND(TODAY()&gt;=I$5,TODAY()&lt;J$5)</formula>
    </cfRule>
  </conditionalFormatting>
  <conditionalFormatting sqref="I10:BL10">
    <cfRule type="expression" dxfId="4" priority="6">
      <formula>AND(task_start&lt;=I$5,ROUNDDOWN((task_end-task_start+1)*task_progress,0)+task_start-1&gt;=I$5)</formula>
    </cfRule>
    <cfRule type="expression" dxfId="3" priority="7" stopIfTrue="1">
      <formula>AND(task_end&gt;=I$5,task_start&lt;J$5)</formula>
    </cfRule>
  </conditionalFormatting>
  <conditionalFormatting sqref="D20">
    <cfRule type="dataBar" priority="1">
      <dataBar>
        <cfvo type="num" val="0"/>
        <cfvo type="num" val="1"/>
        <color theme="0" tint="-0.249977111117893"/>
      </dataBar>
      <extLst>
        <ext xmlns:x14="http://schemas.microsoft.com/office/spreadsheetml/2009/9/main" uri="{B025F937-C7B1-47D3-B67F-A62EFF666E3E}">
          <x14:id>{03CC9B05-B5C5-4A0E-89FE-04F9A06F6C69}</x14:id>
        </ext>
      </extLst>
    </cfRule>
  </conditionalFormatting>
  <conditionalFormatting sqref="I20:BL20">
    <cfRule type="expression" dxfId="2" priority="4">
      <formula>AND(TODAY()&gt;=I$5,TODAY()&lt;J$5)</formula>
    </cfRule>
  </conditionalFormatting>
  <conditionalFormatting sqref="I20:BL20">
    <cfRule type="expression" dxfId="1" priority="2">
      <formula>AND(task_start&lt;=I$5,ROUNDDOWN((task_end-task_start+1)*task_progress,0)+task_start-1&gt;=I$5)</formula>
    </cfRule>
    <cfRule type="expression" dxfId="0" priority="3" stopIfTrue="1">
      <formula>AND(task_end&gt;=I$5,task_start&lt;J$5)</formula>
    </cfRule>
  </conditionalFormatting>
  <dataValidations count="1">
    <dataValidation type="whole" operator="greaterThanOrEqual" allowBlank="1" showInputMessage="1" promptTitle="Mostrar semana" prompt="Al cambiar este número, se desplazará la vista del diagrama de Gantt." sqref="E4"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D7:D9 D11:D19 D21:D35</xm:sqref>
        </x14:conditionalFormatting>
        <x14:conditionalFormatting xmlns:xm="http://schemas.microsoft.com/office/excel/2006/main">
          <x14:cfRule type="dataBar" id="{AC3B305C-A13D-48C0-807A-E91C71FE469E}">
            <x14:dataBar minLength="0" maxLength="100" gradient="0">
              <x14:cfvo type="num">
                <xm:f>0</xm:f>
              </x14:cfvo>
              <x14:cfvo type="num">
                <xm:f>1</xm:f>
              </x14:cfvo>
              <x14:negativeFillColor rgb="FFFF0000"/>
              <x14:axisColor rgb="FF000000"/>
            </x14:dataBar>
          </x14:cfRule>
          <xm:sqref>D10</xm:sqref>
        </x14:conditionalFormatting>
        <x14:conditionalFormatting xmlns:xm="http://schemas.microsoft.com/office/excel/2006/main">
          <x14:cfRule type="dataBar" id="{03CC9B05-B5C5-4A0E-89FE-04F9A06F6C69}">
            <x14:dataBar minLength="0" maxLength="100" gradient="0">
              <x14:cfvo type="num">
                <xm:f>0</xm:f>
              </x14:cfvo>
              <x14:cfvo type="num">
                <xm:f>1</xm:f>
              </x14:cfvo>
              <x14:negativeFillColor rgb="FFFF0000"/>
              <x14:axisColor rgb="FF000000"/>
            </x14:dataBar>
          </x14:cfRule>
          <xm:sqref>D20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baseColWidth="10" defaultColWidth="9.109375" defaultRowHeight="13.8" x14ac:dyDescent="0.3"/>
  <cols>
    <col min="1" max="1" width="87.109375" style="35" customWidth="1"/>
    <col min="2" max="16384" width="9.109375" style="2"/>
  </cols>
  <sheetData>
    <row r="1" spans="1:2" ht="46.5" customHeight="1" x14ac:dyDescent="0.3"/>
    <row r="2" spans="1:2" s="37" customFormat="1" ht="15.6" x14ac:dyDescent="0.3">
      <c r="A2" s="36" t="s">
        <v>23</v>
      </c>
      <c r="B2" s="36"/>
    </row>
    <row r="3" spans="1:2" s="41" customFormat="1" ht="27" customHeight="1" x14ac:dyDescent="0.3">
      <c r="A3" s="69" t="s">
        <v>24</v>
      </c>
      <c r="B3" s="42"/>
    </row>
    <row r="4" spans="1:2" s="38" customFormat="1" ht="25.8" x14ac:dyDescent="0.5">
      <c r="A4" s="39" t="s">
        <v>25</v>
      </c>
    </row>
    <row r="5" spans="1:2" ht="74.099999999999994" customHeight="1" x14ac:dyDescent="0.3">
      <c r="A5" s="40" t="s">
        <v>26</v>
      </c>
    </row>
    <row r="6" spans="1:2" ht="26.25" customHeight="1" x14ac:dyDescent="0.3">
      <c r="A6" s="39" t="s">
        <v>27</v>
      </c>
    </row>
    <row r="7" spans="1:2" s="35" customFormat="1" ht="215.25" customHeight="1" x14ac:dyDescent="0.3">
      <c r="A7" s="44" t="s">
        <v>28</v>
      </c>
    </row>
    <row r="8" spans="1:2" s="38" customFormat="1" ht="25.8" x14ac:dyDescent="0.5">
      <c r="A8" s="39" t="s">
        <v>29</v>
      </c>
    </row>
    <row r="9" spans="1:2" ht="57.6" x14ac:dyDescent="0.3">
      <c r="A9" s="40" t="s">
        <v>30</v>
      </c>
    </row>
    <row r="10" spans="1:2" s="35" customFormat="1" ht="27.9" customHeight="1" x14ac:dyDescent="0.3">
      <c r="A10" s="43" t="s">
        <v>31</v>
      </c>
    </row>
    <row r="11" spans="1:2" s="38" customFormat="1" ht="25.8" x14ac:dyDescent="0.5">
      <c r="A11" s="39" t="s">
        <v>32</v>
      </c>
    </row>
    <row r="12" spans="1:2" ht="28.8" x14ac:dyDescent="0.3">
      <c r="A12" s="40" t="s">
        <v>33</v>
      </c>
    </row>
    <row r="13" spans="1:2" s="35" customFormat="1" ht="27.9" customHeight="1" x14ac:dyDescent="0.3">
      <c r="A13" s="43" t="s">
        <v>34</v>
      </c>
    </row>
    <row r="14" spans="1:2" s="38" customFormat="1" ht="25.8" x14ac:dyDescent="0.5">
      <c r="A14" s="39" t="s">
        <v>35</v>
      </c>
    </row>
    <row r="15" spans="1:2" ht="96.75" customHeight="1" x14ac:dyDescent="0.3">
      <c r="A15" s="40" t="s">
        <v>36</v>
      </c>
    </row>
    <row r="16" spans="1:2" ht="86.4" x14ac:dyDescent="0.3">
      <c r="A16" s="40" t="s">
        <v>37</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2</vt:i4>
      </vt:variant>
      <vt:variant>
        <vt:lpstr>Rangos con nombre</vt:lpstr>
      </vt:variant>
      <vt:variant>
        <vt:i4>6</vt:i4>
      </vt:variant>
    </vt:vector>
  </HeadingPairs>
  <TitlesOfParts>
    <vt:vector size="8" baseType="lpstr">
      <vt:lpstr>ProjectSchedule</vt:lpstr>
      <vt:lpstr>Acerca de</vt:lpstr>
      <vt:lpstr>Inicio_del_proyecto</vt:lpstr>
      <vt:lpstr>Semana_para_mostrar</vt:lpstr>
      <vt:lpstr>ProjectSchedule!task_end</vt:lpstr>
      <vt:lpstr>ProjectSchedule!task_progress</vt:lpstr>
      <vt:lpstr>ProjectSchedule!task_start</vt:lpstr>
      <vt:lpstr>ProjectSchedule!Títulos_a_imprimir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2026-03-27T19:32:23Z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