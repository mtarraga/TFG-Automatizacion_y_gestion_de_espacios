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4FE0B9D7-D338-4A25-87BC-98530F3FF03B}" xr6:coauthVersionLast="47" xr6:coauthVersionMax="47" xr10:uidLastSave="{00000000-0000-0000-0000-000000000000}"/>
  <bookViews>
    <workbookView xWindow="-108" yWindow="-108" windowWidth="41496" windowHeight="1689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 i="11" l="1"/>
  <c r="H7" i="11"/>
  <c r="H24" i="11" l="1"/>
  <c r="I5" i="11"/>
  <c r="H35" i="11"/>
  <c r="H34" i="11"/>
  <c r="H33" i="11"/>
  <c r="H31" i="11"/>
  <c r="H30" i="11"/>
  <c r="H28" i="11"/>
  <c r="H23" i="11"/>
  <c r="H22" i="11"/>
  <c r="H15" i="11"/>
  <c r="H8" i="11"/>
  <c r="H14" i="11" l="1"/>
  <c r="H9" i="11"/>
  <c r="I6" i="11"/>
  <c r="H29" i="11" l="1"/>
  <c r="H27" i="11"/>
  <c r="H16" i="11"/>
  <c r="J5" i="11"/>
  <c r="K5" i="11" s="1"/>
  <c r="L5" i="11" s="1"/>
  <c r="M5" i="11" s="1"/>
  <c r="N5" i="11" s="1"/>
  <c r="O5" i="11" s="1"/>
  <c r="P5" i="11" s="1"/>
  <c r="I4" i="11"/>
  <c r="H25" i="11" l="1"/>
  <c r="H26" i="11"/>
  <c r="H17" i="11"/>
  <c r="H12" i="11"/>
  <c r="H13" i="11"/>
  <c r="P4" i="11"/>
  <c r="Q5" i="11"/>
  <c r="R5" i="11" s="1"/>
  <c r="S5" i="11" s="1"/>
  <c r="T5" i="11" s="1"/>
  <c r="U5" i="11" s="1"/>
  <c r="V5" i="11" s="1"/>
  <c r="W5" i="11" s="1"/>
  <c r="J6" i="11"/>
  <c r="H21" i="11" l="1"/>
  <c r="H19" i="11"/>
  <c r="H18"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<sst xmlns="http://schemas.openxmlformats.org/spreadsheetml/2006/main" count="63" uniqueCount="62">
  <si>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</si>
  <si>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</si>
  <si>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</si>
  <si>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</si>
  <si>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</si>
  <si>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</si>
  <si>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</si>
  <si>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</si>
  <si>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</si>
  <si>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</si>
  <si>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</si>
  <si>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</si>
  <si>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</si>
  <si>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</si>
  <si>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</si>
  <si>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</si>
  <si>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</si>
  <si>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</si>
  <si>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</si>
  <si>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</si>
  <si>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</si>
  <si>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</si>
  <si>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</si>
  <si>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</si>
  <si>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</si>
  <si>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</si>
  <si>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</si>
  <si>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</si>
  <si>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</si>
  <si>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</si>
  <si>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</si>
  <si>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</si>
  <si>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</si>
  <si>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</si>
  <si>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</si>
  <si>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</si>
  <si>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</si>
  <si>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</si>
  <si>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Fase 1: Análisis y Requisitos</t>
  </si>
  <si>
    <t>Análisis Requisitos y Lista de Equipos</t>
  </si>
  <si>
    <t>Diseño Modelo Entidad-Relación</t>
  </si>
  <si>
    <t>Creación Repositorio y Prototipo Navegable</t>
  </si>
  <si>
    <t>HITO 1: ENTREGA SEGUIMIENTO 1</t>
  </si>
  <si>
    <t>Fase 2: Desarrollo del MVP y Persistencia</t>
  </si>
  <si>
    <t>HITO 2: ENTREGA SEGUIMIENTO 2</t>
  </si>
  <si>
    <t>Fase 3: Integración y UI</t>
  </si>
  <si>
    <t>HITO 3: BORRADOR PARA REVISIÓN</t>
  </si>
  <si>
    <t>Fase 4: Pruebas, Control de Calidad y Cierre</t>
  </si>
  <si>
    <t>Correcciones del Tutor y Pulido Final</t>
  </si>
  <si>
    <t>Cierre de Versión</t>
  </si>
  <si>
    <t>HITO FINAL: ENTREGA DEL PROYECTO</t>
  </si>
  <si>
    <t>Sistema de Control y Gestión Teatro</t>
  </si>
  <si>
    <t>Miguel Tárraga Martínez</t>
  </si>
  <si>
    <t>Selección Protocolos</t>
  </si>
  <si>
    <t>Gestión de Identidad (Roles y Login MySQL)</t>
  </si>
  <si>
    <t>Control HW 2 (Audio Meyer SNMP y Emergencia)</t>
  </si>
  <si>
    <t>Sistema de Logs (Acciones y Fallos de Red)</t>
  </si>
  <si>
    <t>Base Lógica de Reservas y Horarios (Backend)</t>
  </si>
  <si>
    <t>Diseño Adaptativo Interfaz UCI</t>
  </si>
  <si>
    <t>Redacción de Memoria (Borrador Completo)</t>
  </si>
  <si>
    <t>Control HW 1 (Vídeo Evertz, Luces ETC y Proyección)</t>
  </si>
  <si>
    <t>Automatización cierre de sesion automático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</si>
</sst>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NumberFormat="1"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168" fontId="9" fillId="3" borderId="2" xfId="10" applyFill="1">
      <alignment horizontal="center" vertical="center"/>
    </xf>
    <xf numFmtId="168" fontId="9" fillId="4" borderId="2" xfId="10" applyFill="1">
      <alignment horizontal="center" vertical="center"/>
    </xf>
    <xf numFmtId="168" fontId="9" fillId="10" borderId="2" xfId="10" applyFill="1">
      <alignment horizontal="center" vertical="center"/>
    </xf>
    <xf numFmtId="168" fontId="9" fillId="0" borderId="2" xfId="10">
      <alignment horizontal="center" vertical="center"/>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9" fillId="0" borderId="3" xfId="9" applyNumberFormat="1">
      <alignment horizontal="center" vertical="center"/>
    </xf>
    <xf numFmtId="0" fontId="9" fillId="0" borderId="0" xfId="8">
      <alignment horizontal="right" indent="1"/>
    </xf>
    <xf numFmtId="0" fontId="9" fillId="0" borderId="7" xfId="8" applyBorder="1">
      <alignment horizontal="right"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8">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8"/>
  <sheetViews>
    <sheetView showGridLines="0" tabSelected="1" showRuler="0" zoomScaleNormal="100" zoomScalePageLayoutView="70" workbookViewId="0">
      <pane ySplit="6" topLeftCell="A7" activePane="bottomLeft" state="frozen"/>
      <selection pane="bottomLeft" activeCell="BD16" sqref="BD16"/>
    </sheetView>
  </sheetViews>
  <sheetFormatPr baseColWidth="10" defaultColWidth="9.109375" defaultRowHeight="30" customHeight="1" x14ac:dyDescent="0.3"/>
  <cols>
    <col min="1" max="1" width="2.6640625" style="45" customWidth="1"/>
    <col min="2" max="2" width="64.109375" bestFit="1" customWidth="1"/>
    <col min="3" max="3" width="30.6640625" hidden="1" customWidth="1"/>
    <col min="4" max="4" width="10.6640625" customWidth="1"/>
    <col min="5" max="5" width="10.44140625" style="5" customWidth="1"/>
    <col min="6" max="6" width="10.44140625" customWidth="1"/>
    <col min="7" max="7" width="2.6640625" customWidth="1"/>
    <col min="8" max="8" width="9.44140625" hidden="1" customWidth="1"/>
    <col min="9" max="64" width="3.33203125" customWidth="1"/>
    <col min="69" max="70" width="10.33203125"/>
  </cols>
  <sheetData>
    <row r="1" spans="1:64" ht="30" customHeight="1" x14ac:dyDescent="0.55000000000000004">
      <c r="A1" s="46" t="s">
        <v>0</v>
      </c>
      <c r="B1" s="49" t="s">
        <v>51</v>
      </c>
      <c r="C1" s="1"/>
      <c r="D1" s="2"/>
      <c r="E1" s="4"/>
      <c r="F1" s="34"/>
      <c r="H1" s="2"/>
      <c r="I1" s="67"/>
    </row>
    <row r="2" spans="1:64" ht="30" customHeight="1" x14ac:dyDescent="0.35">
      <c r="A2" s="45" t="s">
        <v>1</v>
      </c>
      <c r="B2" s="50" t="s">
        <v>52</v>
      </c>
      <c r="I2" s="68"/>
    </row>
    <row r="3" spans="1:64" ht="30" customHeight="1" x14ac:dyDescent="0.3">
      <c r="A3" s="45" t="s">
        <v>2</v>
      </c>
      <c r="B3" s="51"/>
      <c r="C3" s="92" t="s">
        <v>16</v>
      </c>
      <c r="D3" s="93"/>
      <c r="E3" s="91">
        <v>46063</v>
      </c>
      <c r="F3" s="91"/>
    </row>
    <row r="4" spans="1:64" ht="30" customHeight="1" x14ac:dyDescent="0.3">
      <c r="A4" s="46" t="s">
        <v>3</v>
      </c>
      <c r="C4" s="92" t="s">
        <v>17</v>
      </c>
      <c r="D4" s="93"/>
      <c r="E4" s="7">
        <v>8</v>
      </c>
      <c r="I4" s="88">
        <f>I5</f>
        <v>46111</v>
      </c>
      <c r="J4" s="89"/>
      <c r="K4" s="89"/>
      <c r="L4" s="89"/>
      <c r="M4" s="89"/>
      <c r="N4" s="89"/>
      <c r="O4" s="90"/>
      <c r="P4" s="88">
        <f>P5</f>
        <v>46118</v>
      </c>
      <c r="Q4" s="89"/>
      <c r="R4" s="89"/>
      <c r="S4" s="89"/>
      <c r="T4" s="89"/>
      <c r="U4" s="89"/>
      <c r="V4" s="90"/>
      <c r="W4" s="88">
        <f>W5</f>
        <v>46125</v>
      </c>
      <c r="X4" s="89"/>
      <c r="Y4" s="89"/>
      <c r="Z4" s="89"/>
      <c r="AA4" s="89"/>
      <c r="AB4" s="89"/>
      <c r="AC4" s="90"/>
      <c r="AD4" s="88">
        <f>AD5</f>
        <v>46132</v>
      </c>
      <c r="AE4" s="89"/>
      <c r="AF4" s="89"/>
      <c r="AG4" s="89"/>
      <c r="AH4" s="89"/>
      <c r="AI4" s="89"/>
      <c r="AJ4" s="90"/>
      <c r="AK4" s="88">
        <f>AK5</f>
        <v>46139</v>
      </c>
      <c r="AL4" s="89"/>
      <c r="AM4" s="89"/>
      <c r="AN4" s="89"/>
      <c r="AO4" s="89"/>
      <c r="AP4" s="89"/>
      <c r="AQ4" s="90"/>
      <c r="AR4" s="88">
        <f>AR5</f>
        <v>46146</v>
      </c>
      <c r="AS4" s="89"/>
      <c r="AT4" s="89"/>
      <c r="AU4" s="89"/>
      <c r="AV4" s="89"/>
      <c r="AW4" s="89"/>
      <c r="AX4" s="90"/>
      <c r="AY4" s="88">
        <f>AY5</f>
        <v>46153</v>
      </c>
      <c r="AZ4" s="89"/>
      <c r="BA4" s="89"/>
      <c r="BB4" s="89"/>
      <c r="BC4" s="89"/>
      <c r="BD4" s="89"/>
      <c r="BE4" s="90"/>
      <c r="BF4" s="88">
        <f>BF5</f>
        <v>46160</v>
      </c>
      <c r="BG4" s="89"/>
      <c r="BH4" s="89"/>
      <c r="BI4" s="89"/>
      <c r="BJ4" s="89"/>
      <c r="BK4" s="89"/>
      <c r="BL4" s="90"/>
    </row>
    <row r="5" spans="1:64" ht="15" customHeight="1" x14ac:dyDescent="0.3">
      <c r="A5" s="46" t="s">
        <v>4</v>
      </c>
      <c r="B5" s="66"/>
      <c r="C5" s="66"/>
      <c r="D5" s="66"/>
      <c r="E5" s="66"/>
      <c r="F5" s="66"/>
      <c r="G5" s="66"/>
      <c r="I5" s="81">
        <f>Inicio_del_proyecto-WEEKDAY(Inicio_del_proyecto,1)+2+7*(Semana_para_mostrar-1)</f>
        <v>46111</v>
      </c>
      <c r="J5" s="82">
        <f>I5+1</f>
        <v>46112</v>
      </c>
      <c r="K5" s="82">
        <f t="shared" ref="K5:AX5" si="0">J5+1</f>
        <v>46113</v>
      </c>
      <c r="L5" s="82">
        <f t="shared" si="0"/>
        <v>46114</v>
      </c>
      <c r="M5" s="82">
        <f t="shared" si="0"/>
        <v>46115</v>
      </c>
      <c r="N5" s="82">
        <f t="shared" si="0"/>
        <v>46116</v>
      </c>
      <c r="O5" s="83">
        <f t="shared" si="0"/>
        <v>46117</v>
      </c>
      <c r="P5" s="81">
        <f>O5+1</f>
        <v>46118</v>
      </c>
      <c r="Q5" s="82">
        <f>P5+1</f>
        <v>46119</v>
      </c>
      <c r="R5" s="82">
        <f t="shared" si="0"/>
        <v>46120</v>
      </c>
      <c r="S5" s="82">
        <f t="shared" si="0"/>
        <v>46121</v>
      </c>
      <c r="T5" s="82">
        <f t="shared" si="0"/>
        <v>46122</v>
      </c>
      <c r="U5" s="82">
        <f t="shared" si="0"/>
        <v>46123</v>
      </c>
      <c r="V5" s="83">
        <f t="shared" si="0"/>
        <v>46124</v>
      </c>
      <c r="W5" s="81">
        <f>V5+1</f>
        <v>46125</v>
      </c>
      <c r="X5" s="82">
        <f>W5+1</f>
        <v>46126</v>
      </c>
      <c r="Y5" s="82">
        <f t="shared" si="0"/>
        <v>46127</v>
      </c>
      <c r="Z5" s="82">
        <f t="shared" si="0"/>
        <v>46128</v>
      </c>
      <c r="AA5" s="82">
        <f t="shared" si="0"/>
        <v>46129</v>
      </c>
      <c r="AB5" s="82">
        <f t="shared" si="0"/>
        <v>46130</v>
      </c>
      <c r="AC5" s="83">
        <f t="shared" si="0"/>
        <v>46131</v>
      </c>
      <c r="AD5" s="81">
        <f>AC5+1</f>
        <v>46132</v>
      </c>
      <c r="AE5" s="82">
        <f>AD5+1</f>
        <v>46133</v>
      </c>
      <c r="AF5" s="82">
        <f t="shared" si="0"/>
        <v>46134</v>
      </c>
      <c r="AG5" s="82">
        <f t="shared" si="0"/>
        <v>46135</v>
      </c>
      <c r="AH5" s="82">
        <f t="shared" si="0"/>
        <v>46136</v>
      </c>
      <c r="AI5" s="82">
        <f t="shared" si="0"/>
        <v>46137</v>
      </c>
      <c r="AJ5" s="83">
        <f t="shared" si="0"/>
        <v>46138</v>
      </c>
      <c r="AK5" s="81">
        <f>AJ5+1</f>
        <v>46139</v>
      </c>
      <c r="AL5" s="82">
        <f>AK5+1</f>
        <v>46140</v>
      </c>
      <c r="AM5" s="82">
        <f t="shared" si="0"/>
        <v>46141</v>
      </c>
      <c r="AN5" s="82">
        <f t="shared" si="0"/>
        <v>46142</v>
      </c>
      <c r="AO5" s="82">
        <f t="shared" si="0"/>
        <v>46143</v>
      </c>
      <c r="AP5" s="82">
        <f t="shared" si="0"/>
        <v>46144</v>
      </c>
      <c r="AQ5" s="83">
        <f t="shared" si="0"/>
        <v>46145</v>
      </c>
      <c r="AR5" s="81">
        <f>AQ5+1</f>
        <v>46146</v>
      </c>
      <c r="AS5" s="82">
        <f>AR5+1</f>
        <v>46147</v>
      </c>
      <c r="AT5" s="82">
        <f t="shared" si="0"/>
        <v>46148</v>
      </c>
      <c r="AU5" s="82">
        <f t="shared" si="0"/>
        <v>46149</v>
      </c>
      <c r="AV5" s="82">
        <f t="shared" si="0"/>
        <v>46150</v>
      </c>
      <c r="AW5" s="82">
        <f t="shared" si="0"/>
        <v>46151</v>
      </c>
      <c r="AX5" s="83">
        <f t="shared" si="0"/>
        <v>46152</v>
      </c>
      <c r="AY5" s="81">
        <f>AX5+1</f>
        <v>46153</v>
      </c>
      <c r="AZ5" s="82">
        <f>AY5+1</f>
        <v>46154</v>
      </c>
      <c r="BA5" s="82">
        <f t="shared" ref="BA5:BE5" si="1">AZ5+1</f>
        <v>46155</v>
      </c>
      <c r="BB5" s="82">
        <f t="shared" si="1"/>
        <v>46156</v>
      </c>
      <c r="BC5" s="82">
        <f t="shared" si="1"/>
        <v>46157</v>
      </c>
      <c r="BD5" s="82">
        <f t="shared" si="1"/>
        <v>46158</v>
      </c>
      <c r="BE5" s="83">
        <f t="shared" si="1"/>
        <v>46159</v>
      </c>
      <c r="BF5" s="81">
        <f>BE5+1</f>
        <v>46160</v>
      </c>
      <c r="BG5" s="82">
        <f>BF5+1</f>
        <v>46161</v>
      </c>
      <c r="BH5" s="82">
        <f t="shared" ref="BH5:BL5" si="2">BG5+1</f>
        <v>46162</v>
      </c>
      <c r="BI5" s="82">
        <f t="shared" si="2"/>
        <v>46163</v>
      </c>
      <c r="BJ5" s="82">
        <f t="shared" si="2"/>
        <v>46164</v>
      </c>
      <c r="BK5" s="82">
        <f t="shared" si="2"/>
        <v>46165</v>
      </c>
      <c r="BL5" s="83">
        <f t="shared" si="2"/>
        <v>46166</v>
      </c>
    </row>
    <row r="6" spans="1:64" ht="30" customHeight="1" thickBot="1" x14ac:dyDescent="0.35">
      <c r="A6" s="46" t="s">
        <v>5</v>
      </c>
      <c r="B6" s="8" t="s">
        <v>14</v>
      </c>
      <c r="C6" s="9" t="s">
        <v>18</v>
      </c>
      <c r="D6" s="9" t="s">
        <v>19</v>
      </c>
      <c r="E6" s="9" t="s">
        <v>20</v>
      </c>
      <c r="F6" s="9" t="s">
        <v>21</v>
      </c>
      <c r="G6" s="9"/>
      <c r="H6" s="9" t="s">
        <v>22</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4" ht="30" hidden="1" customHeight="1" thickBot="1" x14ac:dyDescent="0.35">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7</v>
      </c>
      <c r="B8" s="15" t="s">
        <v>38</v>
      </c>
      <c r="C8" s="52"/>
      <c r="D8" s="16"/>
      <c r="E8" s="70"/>
      <c r="F8" s="71"/>
      <c r="G8" s="14"/>
      <c r="H8" s="14" t="str">
        <f t="shared" ref="H8:H35"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46" t="s">
        <v>8</v>
      </c>
      <c r="B9" s="61" t="s">
        <v>39</v>
      </c>
      <c r="C9" s="53"/>
      <c r="D9" s="17">
        <v>1</v>
      </c>
      <c r="E9" s="84">
        <v>46077</v>
      </c>
      <c r="F9" s="84">
        <v>46079</v>
      </c>
      <c r="G9" s="14"/>
      <c r="H9" s="14">
        <f t="shared" si="6"/>
        <v>3</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46"/>
      <c r="B10" s="61" t="s">
        <v>53</v>
      </c>
      <c r="C10" s="53"/>
      <c r="D10" s="17">
        <v>1</v>
      </c>
      <c r="E10" s="84">
        <v>46080</v>
      </c>
      <c r="F10" s="84">
        <v>46084</v>
      </c>
      <c r="G10" s="14"/>
      <c r="H10" s="14"/>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6" t="s">
        <v>9</v>
      </c>
      <c r="B11" s="61" t="s">
        <v>40</v>
      </c>
      <c r="C11" s="53"/>
      <c r="D11" s="17">
        <v>1</v>
      </c>
      <c r="E11" s="84">
        <v>46085</v>
      </c>
      <c r="F11" s="84">
        <v>46091</v>
      </c>
      <c r="G11" s="14"/>
      <c r="H11" s="14">
        <f t="shared" si="6"/>
        <v>7</v>
      </c>
      <c r="I11" s="31"/>
      <c r="J11" s="31"/>
      <c r="K11" s="31"/>
      <c r="L11" s="31"/>
      <c r="M11" s="31"/>
      <c r="N11" s="31"/>
      <c r="O11" s="31"/>
      <c r="P11" s="31"/>
      <c r="Q11" s="31"/>
      <c r="R11" s="31"/>
      <c r="S11" s="31"/>
      <c r="T11" s="31"/>
      <c r="U11" s="32"/>
      <c r="V11" s="32"/>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5"/>
      <c r="B12" s="61" t="s">
        <v>41</v>
      </c>
      <c r="C12" s="53"/>
      <c r="D12" s="17">
        <v>1</v>
      </c>
      <c r="E12" s="84">
        <v>46092</v>
      </c>
      <c r="F12" s="84">
        <v>46095</v>
      </c>
      <c r="G12" s="14"/>
      <c r="H12" s="14">
        <f t="shared" si="6"/>
        <v>4</v>
      </c>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45"/>
      <c r="B13" s="61" t="s">
        <v>42</v>
      </c>
      <c r="C13" s="53"/>
      <c r="D13" s="17">
        <v>1</v>
      </c>
      <c r="E13" s="84">
        <v>46096</v>
      </c>
      <c r="F13" s="84">
        <v>46096</v>
      </c>
      <c r="G13" s="14"/>
      <c r="H13" s="14">
        <f t="shared" si="6"/>
        <v>1</v>
      </c>
      <c r="I13" s="31"/>
      <c r="J13" s="31"/>
      <c r="K13" s="31"/>
      <c r="L13" s="31"/>
      <c r="M13" s="31"/>
      <c r="N13" s="31"/>
      <c r="O13" s="31"/>
      <c r="P13" s="31"/>
      <c r="Q13" s="31"/>
      <c r="R13" s="31"/>
      <c r="S13" s="31"/>
      <c r="T13" s="31"/>
      <c r="U13" s="31"/>
      <c r="V13" s="31"/>
      <c r="W13" s="31"/>
      <c r="X13" s="31"/>
      <c r="Y13" s="32"/>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hidden="1" customHeight="1" thickBot="1" x14ac:dyDescent="0.35">
      <c r="A14" s="45"/>
      <c r="B14" s="61"/>
      <c r="C14" s="53"/>
      <c r="D14" s="17"/>
      <c r="E14" s="84"/>
      <c r="F14" s="84"/>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6" t="s">
        <v>10</v>
      </c>
      <c r="B15" s="18" t="s">
        <v>43</v>
      </c>
      <c r="C15" s="54"/>
      <c r="D15" s="19"/>
      <c r="E15" s="72"/>
      <c r="F15" s="73"/>
      <c r="G15" s="14"/>
      <c r="H15" s="14" t="str">
        <f t="shared" si="6"/>
        <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6"/>
      <c r="B16" s="62" t="s">
        <v>54</v>
      </c>
      <c r="C16" s="55"/>
      <c r="D16" s="20">
        <v>1</v>
      </c>
      <c r="E16" s="85">
        <v>46097</v>
      </c>
      <c r="F16" s="85">
        <v>46103</v>
      </c>
      <c r="G16" s="14"/>
      <c r="H16" s="14">
        <f t="shared" si="6"/>
        <v>7</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5"/>
      <c r="B17" s="62" t="s">
        <v>60</v>
      </c>
      <c r="C17" s="55"/>
      <c r="D17" s="20">
        <v>1</v>
      </c>
      <c r="E17" s="85">
        <v>46104</v>
      </c>
      <c r="F17" s="85">
        <v>46114</v>
      </c>
      <c r="G17" s="14"/>
      <c r="H17" s="14">
        <f t="shared" si="6"/>
        <v>11</v>
      </c>
      <c r="I17" s="31"/>
      <c r="J17" s="31"/>
      <c r="K17" s="31"/>
      <c r="L17" s="31"/>
      <c r="M17" s="31"/>
      <c r="N17" s="31"/>
      <c r="O17" s="31"/>
      <c r="P17" s="31"/>
      <c r="Q17" s="31"/>
      <c r="R17" s="31"/>
      <c r="S17" s="31"/>
      <c r="T17" s="31"/>
      <c r="U17" s="32"/>
      <c r="V17" s="32"/>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5"/>
      <c r="B18" s="62" t="s">
        <v>55</v>
      </c>
      <c r="C18" s="55"/>
      <c r="D18" s="20">
        <v>1</v>
      </c>
      <c r="E18" s="85">
        <v>46115</v>
      </c>
      <c r="F18" s="85">
        <v>46121</v>
      </c>
      <c r="G18" s="14"/>
      <c r="H18" s="14">
        <f t="shared" si="6"/>
        <v>7</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2" t="s">
        <v>56</v>
      </c>
      <c r="C19" s="55"/>
      <c r="D19" s="20">
        <v>1</v>
      </c>
      <c r="E19" s="85">
        <v>46122</v>
      </c>
      <c r="F19" s="85">
        <v>46128</v>
      </c>
      <c r="G19" s="14"/>
      <c r="H19" s="14">
        <f t="shared" si="6"/>
        <v>7</v>
      </c>
      <c r="I19" s="31"/>
      <c r="J19" s="31"/>
      <c r="K19" s="31"/>
      <c r="L19" s="31"/>
      <c r="M19" s="31"/>
      <c r="N19" s="31"/>
      <c r="O19" s="31"/>
      <c r="P19" s="31"/>
      <c r="Q19" s="31"/>
      <c r="R19" s="31"/>
      <c r="S19" s="31"/>
      <c r="T19" s="31"/>
      <c r="U19" s="31"/>
      <c r="V19" s="31"/>
      <c r="W19" s="31"/>
      <c r="X19" s="31"/>
      <c r="Y19" s="32"/>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c r="B20" s="62" t="s">
        <v>57</v>
      </c>
      <c r="C20" s="55"/>
      <c r="D20" s="20">
        <v>1</v>
      </c>
      <c r="E20" s="85">
        <v>46129</v>
      </c>
      <c r="F20" s="85">
        <v>46136</v>
      </c>
      <c r="G20" s="14"/>
      <c r="H20" s="14"/>
      <c r="I20" s="31"/>
      <c r="J20" s="31"/>
      <c r="K20" s="31"/>
      <c r="L20" s="31"/>
      <c r="M20" s="31"/>
      <c r="N20" s="31"/>
      <c r="O20" s="31"/>
      <c r="P20" s="31"/>
      <c r="Q20" s="31"/>
      <c r="R20" s="31"/>
      <c r="S20" s="31"/>
      <c r="T20" s="31"/>
      <c r="U20" s="31"/>
      <c r="V20" s="31"/>
      <c r="W20" s="31"/>
      <c r="X20" s="31"/>
      <c r="Y20" s="32"/>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2" t="s">
        <v>44</v>
      </c>
      <c r="C21" s="55"/>
      <c r="D21" s="20">
        <v>1</v>
      </c>
      <c r="E21" s="85">
        <v>46137</v>
      </c>
      <c r="F21" s="85">
        <v>46137</v>
      </c>
      <c r="G21" s="14"/>
      <c r="H21" s="14">
        <f t="shared" si="6"/>
        <v>1</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t="s">
        <v>11</v>
      </c>
      <c r="B22" s="21" t="s">
        <v>45</v>
      </c>
      <c r="C22" s="56"/>
      <c r="D22" s="22"/>
      <c r="E22" s="74"/>
      <c r="F22" s="75"/>
      <c r="G22" s="14"/>
      <c r="H22" s="14" t="str">
        <f t="shared" si="6"/>
        <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c r="B23" s="63" t="s">
        <v>58</v>
      </c>
      <c r="C23" s="57"/>
      <c r="D23" s="23">
        <v>1</v>
      </c>
      <c r="E23" s="76">
        <v>46138</v>
      </c>
      <c r="F23" s="76">
        <v>46144</v>
      </c>
      <c r="G23" s="14"/>
      <c r="H23" s="14">
        <f t="shared" si="6"/>
        <v>7</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c r="B24" s="63" t="s">
        <v>61</v>
      </c>
      <c r="C24" s="57"/>
      <c r="D24" s="23">
        <v>1</v>
      </c>
      <c r="E24" s="76">
        <v>46145</v>
      </c>
      <c r="F24" s="76">
        <v>46148</v>
      </c>
      <c r="G24" s="14"/>
      <c r="H24" s="14">
        <f t="shared" si="6"/>
        <v>4</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3" t="s">
        <v>59</v>
      </c>
      <c r="C25" s="57"/>
      <c r="D25" s="23">
        <v>1</v>
      </c>
      <c r="E25" s="76">
        <v>46138</v>
      </c>
      <c r="F25" s="76">
        <v>46151</v>
      </c>
      <c r="G25" s="14"/>
      <c r="H25" s="14">
        <f t="shared" si="6"/>
        <v>14</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c r="B26" s="63" t="s">
        <v>46</v>
      </c>
      <c r="C26" s="57"/>
      <c r="D26" s="23">
        <v>0</v>
      </c>
      <c r="E26" s="76">
        <v>46152</v>
      </c>
      <c r="F26" s="76">
        <v>46152</v>
      </c>
      <c r="G26" s="14"/>
      <c r="H26" s="14">
        <f t="shared" si="6"/>
        <v>1</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hidden="1" customHeight="1" thickBot="1" x14ac:dyDescent="0.35">
      <c r="A27" s="45"/>
      <c r="B27" s="63"/>
      <c r="C27" s="57"/>
      <c r="D27" s="23"/>
      <c r="E27" s="76"/>
      <c r="F27" s="76"/>
      <c r="G27" s="14"/>
      <c r="H27" s="14" t="str">
        <f t="shared" si="6"/>
        <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t="s">
        <v>11</v>
      </c>
      <c r="B28" s="24" t="s">
        <v>47</v>
      </c>
      <c r="C28" s="58"/>
      <c r="D28" s="25"/>
      <c r="E28" s="77"/>
      <c r="F28" s="78"/>
      <c r="G28" s="14"/>
      <c r="H28" s="14" t="str">
        <f t="shared" si="6"/>
        <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64" t="s">
        <v>48</v>
      </c>
      <c r="C29" s="59"/>
      <c r="D29" s="26"/>
      <c r="E29" s="86">
        <v>46153</v>
      </c>
      <c r="F29" s="86">
        <v>46160</v>
      </c>
      <c r="G29" s="14"/>
      <c r="H29" s="14">
        <f t="shared" si="6"/>
        <v>8</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c r="B30" s="64" t="s">
        <v>49</v>
      </c>
      <c r="C30" s="59"/>
      <c r="D30" s="26"/>
      <c r="E30" s="86">
        <v>46161</v>
      </c>
      <c r="F30" s="86">
        <v>46162</v>
      </c>
      <c r="G30" s="14"/>
      <c r="H30" s="14">
        <f t="shared" si="6"/>
        <v>2</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5"/>
      <c r="B31" s="64" t="s">
        <v>50</v>
      </c>
      <c r="C31" s="59"/>
      <c r="D31" s="26"/>
      <c r="E31" s="86">
        <v>46163</v>
      </c>
      <c r="F31" s="86">
        <v>46163</v>
      </c>
      <c r="G31" s="14"/>
      <c r="H31" s="14">
        <f t="shared" si="6"/>
        <v>1</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hidden="1" customHeight="1" thickBot="1" x14ac:dyDescent="0.35">
      <c r="A32" s="45"/>
      <c r="B32" s="64"/>
      <c r="C32" s="59"/>
      <c r="D32" s="26"/>
      <c r="E32" s="86"/>
      <c r="F32" s="86"/>
      <c r="G32" s="14"/>
      <c r="H32" s="14"/>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hidden="1" customHeight="1" thickBot="1" x14ac:dyDescent="0.35">
      <c r="A33" s="45"/>
      <c r="B33" s="64"/>
      <c r="C33" s="59"/>
      <c r="D33" s="26"/>
      <c r="E33" s="86"/>
      <c r="F33" s="86"/>
      <c r="G33" s="14"/>
      <c r="H33" s="14" t="str">
        <f t="shared" si="6"/>
        <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s="3" customFormat="1" ht="30" customHeight="1" thickBot="1" x14ac:dyDescent="0.35">
      <c r="A34" s="45" t="s">
        <v>12</v>
      </c>
      <c r="B34" s="65"/>
      <c r="C34" s="60"/>
      <c r="D34" s="13"/>
      <c r="E34" s="87"/>
      <c r="F34" s="87"/>
      <c r="G34" s="14"/>
      <c r="H34" s="14" t="str">
        <f t="shared" si="6"/>
        <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row>
    <row r="35" spans="1:64" s="3" customFormat="1" ht="30" customHeight="1" thickBot="1" x14ac:dyDescent="0.35">
      <c r="A35" s="46" t="s">
        <v>13</v>
      </c>
      <c r="B35" s="27" t="s">
        <v>15</v>
      </c>
      <c r="C35" s="28"/>
      <c r="D35" s="29"/>
      <c r="E35" s="79"/>
      <c r="F35" s="80"/>
      <c r="G35" s="30"/>
      <c r="H35" s="30" t="str">
        <f t="shared" si="6"/>
        <v/>
      </c>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row>
    <row r="36" spans="1:64" ht="30" customHeight="1" x14ac:dyDescent="0.3">
      <c r="G36" s="6"/>
    </row>
    <row r="37" spans="1:64" ht="30" customHeight="1" x14ac:dyDescent="0.3">
      <c r="C37" s="11"/>
      <c r="F37" s="47"/>
    </row>
    <row r="38" spans="1:64" ht="30" customHeight="1" x14ac:dyDescent="0.3">
      <c r="C38"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9 D11:D19 D21:D35">
    <cfRule type="dataBar" priority="2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9 I11:BL19 I21:BL35">
    <cfRule type="expression" dxfId="8" priority="41">
      <formula>AND(TODAY()&gt;=I$5,TODAY()&lt;J$5)</formula>
    </cfRule>
  </conditionalFormatting>
  <conditionalFormatting sqref="I7:BL9 I11:BL19 I21:BL35">
    <cfRule type="expression" dxfId="7" priority="35">
      <formula>AND(task_start&lt;=I$5,ROUNDDOWN((task_end-task_start+1)*task_progress,0)+task_start-1&gt;=I$5)</formula>
    </cfRule>
    <cfRule type="expression" dxfId="6" priority="36" stopIfTrue="1">
      <formula>AND(task_end&gt;=I$5,task_start&lt;J$5)</formula>
    </cfRule>
  </conditionalFormatting>
  <conditionalFormatting sqref="D10">
    <cfRule type="dataBar" priority="5">
      <dataBar>
        <cfvo type="num" val="0"/>
        <cfvo type="num" val="1"/>
        <color theme="0" tint="-0.249977111117893"/>
      </dataBar>
      <extLst>
        <ext xmlns:x14="http://schemas.microsoft.com/office/spreadsheetml/2009/9/main" uri="{B025F937-C7B1-47D3-B67F-A62EFF666E3E}">
          <x14:id>{AC3B305C-A13D-48C0-807A-E91C71FE469E}</x14:id>
        </ext>
      </extLst>
    </cfRule>
  </conditionalFormatting>
  <conditionalFormatting sqref="I10:BL10">
    <cfRule type="expression" dxfId="5" priority="8">
      <formula>AND(TODAY()&gt;=I$5,TODAY()&lt;J$5)</formula>
    </cfRule>
  </conditionalFormatting>
  <conditionalFormatting sqref="I10:BL10">
    <cfRule type="expression" dxfId="4" priority="6">
      <formula>AND(task_start&lt;=I$5,ROUNDDOWN((task_end-task_start+1)*task_progress,0)+task_start-1&gt;=I$5)</formula>
    </cfRule>
    <cfRule type="expression" dxfId="3" priority="7" stopIfTrue="1">
      <formula>AND(task_end&gt;=I$5,task_start&lt;J$5)</formula>
    </cfRule>
  </conditionalFormatting>
  <conditionalFormatting sqref="D20">
    <cfRule type="dataBar" priority="1">
      <dataBar>
        <cfvo type="num" val="0"/>
        <cfvo type="num" val="1"/>
        <color theme="0" tint="-0.249977111117893"/>
      </dataBar>
      <extLst>
        <ext xmlns:x14="http://schemas.microsoft.com/office/spreadsheetml/2009/9/main" uri="{B025F937-C7B1-47D3-B67F-A62EFF666E3E}">
          <x14:id>{03CC9B05-B5C5-4A0E-89FE-04F9A06F6C69}</x14:id>
        </ext>
      </extLst>
    </cfRule>
  </conditionalFormatting>
  <conditionalFormatting sqref="I20:BL20">
    <cfRule type="expression" dxfId="2" priority="4">
      <formula>AND(TODAY()&gt;=I$5,TODAY()&lt;J$5)</formula>
    </cfRule>
  </conditionalFormatting>
  <conditionalFormatting sqref="I20:BL20">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D7:D9 D11:D19 D21:D35</xm:sqref>
        </x14:conditionalFormatting>
        <x14:conditionalFormatting xmlns:xm="http://schemas.microsoft.com/office/excel/2006/main">
          <x14:cfRule type="dataBar" id="{AC3B305C-A13D-48C0-807A-E91C71FE469E}">
            <x14:dataBar minLength="0" maxLength="100" gradient="0">
              <x14:cfvo type="num">
                <xm:f>0</xm:f>
              </x14:cfvo>
              <x14:cfvo type="num">
                <xm:f>1</xm:f>
              </x14:cfvo>
              <x14:negativeFillColor rgb="FFFF0000"/>
              <x14:axisColor rgb="FF000000"/>
            </x14:dataBar>
          </x14:cfRule>
          <xm:sqref>D10</xm:sqref>
        </x14:conditionalFormatting>
        <x14:conditionalFormatting xmlns:xm="http://schemas.microsoft.com/office/excel/2006/main">
          <x14:cfRule type="dataBar" id="{03CC9B05-B5C5-4A0E-89FE-04F9A06F6C69}">
            <x14:dataBar minLength="0" maxLength="100" gradient="0">
              <x14:cfvo type="num">
                <xm:f>0</xm:f>
              </x14:cfvo>
              <x14:cfvo type="num">
                <xm:f>1</xm:f>
              </x14:cfvo>
              <x14:negativeFillColor rgb="FFFF0000"/>
              <x14:axisColor rgb="FF000000"/>
            </x14:dataBar>
          </x14:cfRule>
          <xm:sqref>D20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35" customWidth="1"/>
    <col min="2" max="16384" width="9.109375" style="2"/>
  </cols>
  <sheetData>
    <row r="1" spans="1:2" ht="46.5" customHeight="1" x14ac:dyDescent="0.3"/>
    <row r="2" spans="1:2" s="37" customFormat="1" ht="15.6" x14ac:dyDescent="0.3">
      <c r="A2" s="36" t="s">
        <v>23</v>
      </c>
      <c r="B2" s="36"/>
    </row>
    <row r="3" spans="1:2" s="41" customFormat="1" ht="27" customHeight="1" x14ac:dyDescent="0.3">
      <c r="A3" s="69" t="s">
        <v>24</v>
      </c>
      <c r="B3" s="42"/>
    </row>
    <row r="4" spans="1:2" s="38" customFormat="1" ht="25.8" x14ac:dyDescent="0.5">
      <c r="A4" s="39" t="s">
        <v>25</v>
      </c>
    </row>
    <row r="5" spans="1:2" ht="74.099999999999994" customHeight="1" x14ac:dyDescent="0.3">
      <c r="A5" s="40" t="s">
        <v>26</v>
      </c>
    </row>
    <row r="6" spans="1:2" ht="26.25" customHeight="1" x14ac:dyDescent="0.3">
      <c r="A6" s="39" t="s">
        <v>27</v>
      </c>
    </row>
    <row r="7" spans="1:2" s="35" customFormat="1" ht="215.25" customHeight="1" x14ac:dyDescent="0.3">
      <c r="A7" s="44" t="s">
        <v>28</v>
      </c>
    </row>
    <row r="8" spans="1:2" s="38" customFormat="1" ht="25.8" x14ac:dyDescent="0.5">
      <c r="A8" s="39" t="s">
        <v>29</v>
      </c>
    </row>
    <row r="9" spans="1:2" ht="57.6" x14ac:dyDescent="0.3">
      <c r="A9" s="40" t="s">
        <v>30</v>
      </c>
    </row>
    <row r="10" spans="1:2" s="35" customFormat="1" ht="27.9" customHeight="1" x14ac:dyDescent="0.3">
      <c r="A10" s="43" t="s">
        <v>31</v>
      </c>
    </row>
    <row r="11" spans="1:2" s="38" customFormat="1" ht="25.8" x14ac:dyDescent="0.5">
      <c r="A11" s="39" t="s">
        <v>32</v>
      </c>
    </row>
    <row r="12" spans="1:2" ht="28.8" x14ac:dyDescent="0.3">
      <c r="A12" s="40" t="s">
        <v>33</v>
      </c>
    </row>
    <row r="13" spans="1:2" s="35" customFormat="1" ht="27.9" customHeight="1" x14ac:dyDescent="0.3">
      <c r="A13" s="43" t="s">
        <v>34</v>
      </c>
    </row>
    <row r="14" spans="1:2" s="38" customFormat="1" ht="25.8" x14ac:dyDescent="0.5">
      <c r="A14" s="39" t="s">
        <v>35</v>
      </c>
    </row>
    <row r="15" spans="1:2" ht="96.75" customHeight="1" x14ac:dyDescent="0.3">
      <c r="A15" s="40" t="s">
        <v>36</v>
      </c>
    </row>
    <row r="16" spans="1:2" ht="86.4" x14ac:dyDescent="0.3">
      <c r="A16" s="40"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2026-05-07T10:37:15Z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